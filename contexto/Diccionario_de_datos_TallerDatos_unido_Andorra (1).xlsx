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Instrucciones" sheetId="1" state="visible" r:id="rId1"/>
    <sheet name="1. Fuentes" sheetId="2" state="visible" r:id="rId2"/>
    <sheet name="2. Diccionario" sheetId="3" state="visible" r:id="rId3"/>
    <sheet name="3. Bitácora IA" sheetId="4" state="visible" r:id="rId4"/>
    <sheet name="Resume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000000"/>
      <sz val="14"/>
    </font>
    <font>
      <name val="Arial"/>
      <charset val="1"/>
      <family val="2"/>
      <color rgb="FF555555"/>
      <sz val="9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000000"/>
      <sz val="11"/>
    </font>
    <font>
      <name val="Arial"/>
      <charset val="1"/>
      <family val="2"/>
      <b val="1"/>
      <sz val="14"/>
    </font>
    <font>
      <name val="Arial"/>
      <charset val="1"/>
      <family val="2"/>
      <i val="1"/>
      <color rgb="FF555555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i val="1"/>
      <color rgb="FF666666"/>
      <sz val="9"/>
    </font>
    <font>
      <name val="Arial"/>
      <charset val="1"/>
      <family val="2"/>
      <sz val="10"/>
    </font>
    <font>
      <name val="Calibri"/>
      <charset val="1"/>
      <family val="2"/>
      <color theme="10"/>
      <sz val="11"/>
      <u val="single"/>
    </font>
    <font>
      <name val="Arial"/>
      <charset val="1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rgb="FFFFF7CC"/>
        <bgColor rgb="FFEDEDED"/>
      </patternFill>
    </fill>
    <fill>
      <patternFill patternType="solid">
        <fgColor rgb="FF1F1F1F"/>
        <bgColor rgb="FF333300"/>
      </patternFill>
    </fill>
    <fill>
      <patternFill patternType="solid">
        <fgColor rgb="FFEDEDED"/>
        <bgColor rgb="FFFFF7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3" fillId="0" borderId="0" applyAlignment="1">
      <alignment horizontal="general" vertical="bottom"/>
    </xf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 wrapText="1"/>
    </xf>
    <xf numFmtId="0" fontId="11" fillId="4" borderId="1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general" vertical="top" wrapText="1"/>
    </xf>
    <xf numFmtId="0" fontId="13" fillId="2" borderId="1" applyAlignment="1" pivotButton="0" quotePrefix="0" xfId="2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9" fontId="12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center" wrapText="1"/>
    </xf>
    <xf numFmtId="0" fontId="11" fillId="4" borderId="1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general" vertical="top" wrapText="1"/>
    </xf>
    <xf numFmtId="0" fontId="13" fillId="2" borderId="1" applyAlignment="1" pivotButton="0" quotePrefix="0" xfId="20">
      <alignment horizontal="general" vertical="top" wrapText="1"/>
    </xf>
    <xf numFmtId="0" fontId="12" fillId="2" borderId="1" applyAlignment="1" pivotButton="0" quotePrefix="0" xfId="0">
      <alignment horizontal="general" vertical="top" wrapText="1"/>
    </xf>
    <xf numFmtId="0" fontId="13" fillId="2" borderId="1" applyAlignment="1" pivotButton="0" quotePrefix="0" xfId="2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9" fontId="12" fillId="0" borderId="1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1F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sig.govern.ad/Sigdde.Public/Inici" TargetMode="External" Id="rId1" /><Relationship Type="http://schemas.openxmlformats.org/officeDocument/2006/relationships/hyperlink" Target="https://www.indomio.es/en/mercado-inmobiliario/andorra/andorra-provincia/" TargetMode="External" Id="rId2" /><Relationship Type="http://schemas.openxmlformats.org/officeDocument/2006/relationships/hyperlink" Target="https://overpass-api.de/api/interpreter" TargetMode="External" Id="rId3" /><Relationship Type="http://schemas.openxmlformats.org/officeDocument/2006/relationships/hyperlink" Target="https://sig.govern.ad/Sigdde.Public/estadistiquesdades/api/data" TargetMode="External" Id="rId4" /><Relationship Type="http://schemas.openxmlformats.org/officeDocument/2006/relationships/hyperlink" Target="https://sig.govern.ad/Sigdde.Public/estadistiquesdades/api/data" TargetMode="External" Id="rId5" /><Relationship Type="http://schemas.openxmlformats.org/officeDocument/2006/relationships/hyperlink" Target="https://www.agia.ad/" TargetMode="External" Id="rId6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B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7734375" defaultRowHeight="14.25" zeroHeight="0" outlineLevelRow="0"/>
  <cols>
    <col width="4" customWidth="1" style="16" min="1" max="1"/>
    <col width="110" customWidth="1" style="16" min="2" max="2"/>
  </cols>
  <sheetData>
    <row r="1" ht="18.75" customHeight="1" s="17">
      <c r="B1" s="18" t="inlineStr">
        <is>
          <t>Taller de datos · Entrega 1 · El lago y su diccionario</t>
        </is>
      </c>
    </row>
    <row r="2" ht="14.25" customHeight="1" s="17">
      <c r="B2" s="19" t="inlineStr">
        <is>
          <t>Tópicos de Sistemas de Información · Profesor Santiago Jiménez Londoño · topicos-si.vercel.app/Tallerdatos</t>
        </is>
      </c>
    </row>
    <row r="3" ht="14.25" customHeight="1" s="17">
      <c r="B3" s="20" t="n"/>
    </row>
    <row r="4" ht="15.75" customHeight="1" s="17">
      <c r="B4" s="21" t="inlineStr">
        <is>
          <t>Datos del grupo</t>
        </is>
      </c>
    </row>
    <row r="5" ht="14.25" customHeight="1" s="17">
      <c r="B5" s="22" t="inlineStr">
        <is>
          <t>Ciudad elegida: Andorra</t>
        </is>
      </c>
    </row>
    <row r="6" ht="14.25" customHeight="1" s="17">
      <c r="B6" s="22" t="inlineStr">
        <is>
          <t>Integrantes: Daniel Zapata, Samuel Herrera, Tomás Londoño</t>
        </is>
      </c>
    </row>
    <row r="7" ht="14.25" customHeight="1" s="17">
      <c r="B7" s="22" t="inlineStr">
        <is>
          <t>Enlace al repositorio o a la carpeta del lago:</t>
        </is>
      </c>
    </row>
    <row r="8" ht="14.25" customHeight="1" s="17">
      <c r="B8" s="20" t="n"/>
    </row>
    <row r="9" ht="15.75" customHeight="1" s="17">
      <c r="B9" s="21" t="inlineStr">
        <is>
          <t>Qué entregan en este archivo</t>
        </is>
      </c>
    </row>
    <row r="10" ht="28.5" customHeight="1" s="17">
      <c r="B10" s="20" t="inlineStr">
        <is>
          <t>1. Fuentes · una fila por cada fuente que encontraron en el rastreo, entre o no al lago. Las descartadas también cuentan: explican las decisiones.</t>
        </is>
      </c>
    </row>
    <row r="11" ht="14.25" customHeight="1" s="17">
      <c r="B11" s="20" t="inlineStr">
        <is>
          <t>2. Diccionario · una fila por cada campo (columna o clave del JSON) que quedó en el lago. Si un campo no está aquí, no existe.</t>
        </is>
      </c>
    </row>
    <row r="12" ht="14.25" customHeight="1" s="17">
      <c r="B12" s="20" t="inlineStr">
        <is>
          <t>3. Bitácora IA · qué le encargaron a la IA durante la búsqueda, qué respondió y cómo lo comprobaron.</t>
        </is>
      </c>
    </row>
    <row r="13" ht="14.25" customHeight="1" s="17">
      <c r="B13" s="20" t="inlineStr">
        <is>
          <t>Resumen · se llena solo con fórmulas. No lo editen.</t>
        </is>
      </c>
    </row>
    <row r="14" ht="14.25" customHeight="1" s="17">
      <c r="B14" s="20" t="n"/>
    </row>
    <row r="15" ht="15.75" customHeight="1" s="17">
      <c r="B15" s="21" t="inlineStr">
        <is>
          <t>Cómo llenarlo</t>
        </is>
      </c>
    </row>
    <row r="16" ht="28.5" customHeight="1" s="17">
      <c r="B16" s="20" t="inlineStr">
        <is>
          <t>• Escriban solo en las celdas amarillas. La fila gris de cada hoja es un ejemplo (Medellín): pueden borrarla o dejarla, el resumen no la cuenta.</t>
        </is>
      </c>
    </row>
    <row r="17" ht="14.25" customHeight="1" s="17">
      <c r="B17" s="20" t="inlineStr">
        <is>
          <t>• El ID de fuente (F01, F02…) une las tres hojas: úsenlo igual en Fuentes, Diccionario y Bitácora IA.</t>
        </is>
      </c>
    </row>
    <row r="18" ht="14.25" customHeight="1" s="17">
      <c r="B18" s="20" t="inlineStr">
        <is>
          <t>• Las columnas con lista desplegable solo aceptan esas opciones.</t>
        </is>
      </c>
    </row>
    <row r="19" ht="14.25" customHeight="1" s="17">
      <c r="B19" s="20" t="inlineStr">
        <is>
          <t>• La licencia se copia tal como aparece en la fuente. Si la fuente no dice nada, escriban «no declara»: no la supongan.</t>
        </is>
      </c>
    </row>
    <row r="20" ht="14.25" customHeight="1" s="17">
      <c r="B20" s="20" t="inlineStr">
        <is>
          <t>• «Fecha en que la probaron» es el día en que la descarga o la API respondió de verdad, no el día en que la IA la mencionó.</t>
        </is>
      </c>
    </row>
    <row r="21" ht="14.25" customHeight="1" s="17">
      <c r="B21" s="20" t="inlineStr">
        <is>
          <t>• Una fuente que la IA nombró y que ustedes no pudieron abrir va igual en Fuentes, con estado «No responde» o «No existe».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E8" activeCellId="0" sqref="E8"/>
    </sheetView>
  </sheetViews>
  <sheetFormatPr baseColWidth="8" defaultColWidth="8.77734375" defaultRowHeight="14.25" zeroHeight="0" outlineLevelRow="0"/>
  <cols>
    <col width="9" customWidth="1" style="16" min="1" max="1"/>
    <col width="28" customWidth="1" style="16" min="2" max="2"/>
    <col width="22" customWidth="1" style="16" min="3" max="3"/>
    <col width="18" customWidth="1" style="16" min="4" max="4"/>
    <col width="36" customWidth="1" style="16" min="5" max="5"/>
    <col width="12" customWidth="1" style="16" min="6" max="6"/>
    <col width="18" customWidth="1" style="16" min="7" max="7"/>
    <col width="22" customWidth="1" style="16" min="8" max="8"/>
    <col width="18" customWidth="1" style="16" min="9" max="9"/>
    <col width="16" customWidth="1" style="16" min="10" max="10"/>
    <col width="16.44" customWidth="1" style="16" min="11" max="11"/>
    <col width="14" customWidth="1" style="16" min="12" max="13"/>
    <col width="20" customWidth="1" style="16" min="14" max="14"/>
    <col width="26" customWidth="1" style="16" min="15" max="15"/>
    <col width="32" customWidth="1" style="16" min="16" max="16"/>
  </cols>
  <sheetData>
    <row r="1" ht="18" customHeight="1" s="17">
      <c r="A1" s="23" t="inlineStr">
        <is>
          <t>1. Catálogo de fuentes</t>
        </is>
      </c>
    </row>
    <row r="2" ht="14.25" customHeight="1" s="17">
      <c r="A2" s="24" t="inlineStr">
        <is>
          <t>Una fila por fuente encontrada. Escriban en las celdas amarillas; la fila gris es un ejemplo.</t>
        </is>
      </c>
    </row>
    <row r="3" ht="42" customHeight="1" s="17">
      <c r="A3" s="25" t="inlineStr">
        <is>
          <t>ID fuente</t>
        </is>
      </c>
      <c r="B3" s="25" t="inlineStr">
        <is>
          <t>Nombre del conjunto de datos</t>
        </is>
      </c>
      <c r="C3" s="25" t="inlineStr">
        <is>
          <t>Entidad que lo publica</t>
        </is>
      </c>
      <c r="D3" s="25" t="inlineStr">
        <is>
          <t>Tipo de publicador</t>
        </is>
      </c>
      <c r="E3" s="25" t="inlineStr">
        <is>
          <t>URL exacta (descarga o API)</t>
        </is>
      </c>
      <c r="F3" s="25" t="inlineStr">
        <is>
          <t>Formato</t>
        </is>
      </c>
      <c r="G3" s="25" t="inlineStr">
        <is>
          <t>Cómo se obtiene</t>
        </is>
      </c>
      <c r="H3" s="25" t="inlineStr">
        <is>
          <t>Licencia (tal como aparece)</t>
        </is>
      </c>
      <c r="I3" s="25" t="inlineStr">
        <is>
          <t>¿Trae datos de personas?</t>
        </is>
      </c>
      <c r="J3" s="25" t="inlineStr">
        <is>
          <t>Cobertura geográfica</t>
        </is>
      </c>
      <c r="K3" s="25" t="inlineStr">
        <is>
          <t>Periodo que cubre</t>
        </is>
      </c>
      <c r="L3" s="25" t="inlineStr">
        <is>
          <t>Frecuencia de actualización</t>
        </is>
      </c>
      <c r="M3" s="25" t="inlineStr">
        <is>
          <t>Fecha en que la probaron (AAAA-MM-DD)</t>
        </is>
      </c>
      <c r="N3" s="25" t="inlineStr">
        <is>
          <t>Estado</t>
        </is>
      </c>
      <c r="O3" s="25" t="inlineStr">
        <is>
          <t>Cómo la encontraron (IA o búsqueda)</t>
        </is>
      </c>
      <c r="P3" s="25" t="inlineStr">
        <is>
          <t>Observaciones</t>
        </is>
      </c>
    </row>
    <row r="4" ht="51.75" customHeight="1" s="17">
      <c r="A4" s="26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  <c r="N4" s="26" t="n"/>
      <c r="O4" s="26" t="n"/>
      <c r="P4" s="26" t="n"/>
    </row>
    <row r="5" ht="69.75" customHeight="1" s="17">
      <c r="A5" s="29" t="inlineStr">
        <is>
          <t>F01</t>
        </is>
      </c>
      <c r="B5" s="29" t="inlineStr">
        <is>
          <t>Població per parròquia (banc de dades d'Estadística)</t>
        </is>
      </c>
      <c r="C5" s="29" t="inlineStr">
        <is>
          <t>Departament d'Estadística d'Andorra</t>
        </is>
      </c>
      <c r="D5" s="29" t="inlineStr">
        <is>
          <t>Entidad pública</t>
        </is>
      </c>
      <c r="E5" s="30" t="inlineStr">
        <is>
          <t>https://sig.govern.ad/Sigdde.Public/Inici</t>
        </is>
      </c>
      <c r="F5" s="29" t="inlineStr">
        <is>
          <t>CSV</t>
        </is>
      </c>
      <c r="G5" s="29" t="inlineStr">
        <is>
          <t>Descarga directa</t>
        </is>
      </c>
      <c r="H5" s="29" t="inlineStr">
        <is>
          <t>INCOMPLETO: falta texto literal de licencia copiado de la fuente (la fuente oficial no publica un texto de licencia; verificar y copiar literal)</t>
        </is>
      </c>
      <c r="I5" s="29" t="inlineStr">
        <is>
          <t>No</t>
        </is>
      </c>
      <c r="J5" s="29" t="inlineStr">
        <is>
          <t>Nacional (7 parròquies)</t>
        </is>
      </c>
      <c r="K5" s="29" t="inlineStr">
        <is>
          <t>2020 a 2025</t>
        </is>
      </c>
      <c r="L5" s="29" t="inlineStr">
        <is>
          <t>Anual</t>
        </is>
      </c>
      <c r="M5" s="29" t="inlineStr">
        <is>
          <t>2026-10-26</t>
        </is>
      </c>
      <c r="N5" s="29" t="inlineStr">
        <is>
          <t>Integrada al lago</t>
        </is>
      </c>
      <c r="O5" s="29" t="inlineStr">
        <is>
          <t>Búsqueda propia + confirmación con IA de la fuente oficial.</t>
        </is>
      </c>
      <c r="P5" s="29" t="inlineStr">
        <is>
          <t>Linaje OBSERVADO. Campo en el lago: datos_procesados/poblacion_parroquia.csv. Formato ancho (un año por columna); fila TOTAL excluida.</t>
        </is>
      </c>
    </row>
    <row r="6" ht="82.5" customHeight="1" s="17">
      <c r="A6" s="29" t="inlineStr">
        <is>
          <t>F02</t>
        </is>
      </c>
      <c r="B6" s="29" t="inlineStr">
        <is>
          <t>Precios de vivienda €/m² por parròquia (Indomio)</t>
        </is>
      </c>
      <c r="C6" s="29" t="inlineStr">
        <is>
          <t>Indomio.es</t>
        </is>
      </c>
      <c r="D6" s="29" t="inlineStr">
        <is>
          <t>Empresa privada</t>
        </is>
      </c>
      <c r="E6" s="30" t="inlineStr">
        <is>
          <t>https://www.indomio.es/en/mercado-inmobiliario/andorra/andorra-provincia/</t>
        </is>
      </c>
      <c r="F6" s="29" t="inlineStr">
        <is>
          <t>Página web</t>
        </is>
      </c>
      <c r="G6" s="29" t="inlineStr">
        <is>
          <t>Bloquea scripts o pide sesión</t>
        </is>
      </c>
      <c r="H6" s="29" t="inlineStr">
        <is>
          <t>INCOMPLETO: falta texto literal de licencia copiado de la fuente (términos del portal; verificar y copiar literal antes de publicar)</t>
        </is>
      </c>
      <c r="I6" s="29" t="inlineStr">
        <is>
          <t>No</t>
        </is>
      </c>
      <c r="J6" s="29" t="inlineStr">
        <is>
          <t>Nacional (7 parròquies)</t>
        </is>
      </c>
      <c r="K6" s="29" t="inlineStr">
        <is>
          <t>Captura 2026</t>
        </is>
      </c>
      <c r="L6" s="29" t="inlineStr">
        <is>
          <t>Mensual</t>
        </is>
      </c>
      <c r="M6" s="29" t="inlineStr">
        <is>
          <t>2026-10-26</t>
        </is>
      </c>
      <c r="N6" s="29" t="inlineStr">
        <is>
          <t>Integrada al lago</t>
        </is>
      </c>
      <c r="O6" s="29" t="inlineStr">
        <is>
          <t>Sugerida por la IA como portal con desglose por zona; confirmada abriendo el sitio.</t>
        </is>
      </c>
      <c r="P6" s="29" t="inlineStr">
        <is>
          <t>Linaje PROXY (precios de oferta, no de transacción). Campo en el lago: datos_procesados/precios_vivienda.csv. Bloqueo anti-bot documentado en la bitácora.</t>
        </is>
      </c>
    </row>
    <row r="7" ht="95.25" customHeight="1" s="17">
      <c r="A7" s="29" t="inlineStr">
        <is>
          <t>F30</t>
        </is>
      </c>
      <c r="B7" s="29" t="inlineStr">
        <is>
          <t>Pressupost / despeses de turisme (Andorra Turisme SAU, estadistica_681)</t>
        </is>
      </c>
      <c r="C7" s="29" t="inlineStr">
        <is>
          <t>Departament d'Estadística d'Andorra</t>
        </is>
      </c>
      <c r="D7" s="29" t="inlineStr">
        <is>
          <t>Entidad pública</t>
        </is>
      </c>
      <c r="E7" s="30" t="inlineStr">
        <is>
          <t>https://sig.govern.ad/Sigdde.Public/Inici</t>
        </is>
      </c>
      <c r="F7" s="29" t="inlineStr">
        <is>
          <t>CSV</t>
        </is>
      </c>
      <c r="G7" s="29" t="inlineStr">
        <is>
          <t>Descarga directa</t>
        </is>
      </c>
      <c r="H7" s="29" t="inlineStr">
        <is>
          <t>INCOMPLETO: falta texto literal de licencia copiado de la fuente (la fuente oficial no publica un texto de licencia; verificar y copiar literal)</t>
        </is>
      </c>
      <c r="I7" s="29" t="inlineStr">
        <is>
          <t>No</t>
        </is>
      </c>
      <c r="J7" s="29" t="inlineStr">
        <is>
          <t>Nacional</t>
        </is>
      </c>
      <c r="K7" s="29" t="inlineStr">
        <is>
          <t>2020 a 2025</t>
        </is>
      </c>
      <c r="L7" s="29" t="inlineStr">
        <is>
          <t>Anual</t>
        </is>
      </c>
      <c r="M7" s="29" t="inlineStr">
        <is>
          <t>2026-10-26</t>
        </is>
      </c>
      <c r="N7" s="29" t="inlineStr">
        <is>
          <t>Integrada al lago</t>
        </is>
      </c>
      <c r="O7" s="29" t="inlineStr">
        <is>
          <t>Descarga desde el banc de dades oficial (estadistica_681).</t>
        </is>
      </c>
      <c r="P7" s="29" t="inlineStr">
        <is>
          <t>Linaje OBSERVADO. Campo en el lago: datos_procesados/turismo.csv.</t>
        </is>
      </c>
    </row>
    <row r="8" ht="69.75" customHeight="1" s="17">
      <c r="A8" s="29" t="inlineStr">
        <is>
          <t>F31</t>
        </is>
      </c>
      <c r="B8" s="29" t="inlineStr">
        <is>
          <t>Inversions immobiliàries (estadistica_2729)</t>
        </is>
      </c>
      <c r="C8" s="29" t="inlineStr">
        <is>
          <t>Departament d'Estadística d'Andorra</t>
        </is>
      </c>
      <c r="D8" s="29" t="inlineStr">
        <is>
          <t>Entidad pública</t>
        </is>
      </c>
      <c r="E8" s="30" t="inlineStr">
        <is>
          <t>https://sig.govern.ad/Sigdde.Public/Inici</t>
        </is>
      </c>
      <c r="F8" s="29" t="inlineStr">
        <is>
          <t>CSV</t>
        </is>
      </c>
      <c r="G8" s="29" t="inlineStr">
        <is>
          <t>Descarga directa</t>
        </is>
      </c>
      <c r="H8" s="29" t="inlineStr">
        <is>
          <t>INCOMPLETO: falta texto literal de licencia copiado de la fuente (la fuente oficial no publica un texto de licencia; verificar y copiar literal)</t>
        </is>
      </c>
      <c r="I8" s="29" t="inlineStr">
        <is>
          <t>No</t>
        </is>
      </c>
      <c r="J8" s="29" t="inlineStr">
        <is>
          <t>Nacional</t>
        </is>
      </c>
      <c r="K8" s="29" t="inlineStr">
        <is>
          <t>2020 a 2025</t>
        </is>
      </c>
      <c r="L8" s="29" t="inlineStr">
        <is>
          <t>Anual</t>
        </is>
      </c>
      <c r="M8" s="29" t="inlineStr">
        <is>
          <t>2026-10-26</t>
        </is>
      </c>
      <c r="N8" s="29" t="inlineStr">
        <is>
          <t>Integrada al lago</t>
        </is>
      </c>
      <c r="O8" s="29" t="inlineStr">
        <is>
          <t>Descarga desde el banc de dades oficial (estadistica_2729).</t>
        </is>
      </c>
      <c r="P8" s="29" t="inlineStr">
        <is>
          <t>Linaje OBSERVADO. Campo en el lago: datos_procesados/inversiones_inmobiliarias.csv.</t>
        </is>
      </c>
    </row>
    <row r="9" ht="44.25" customHeight="1" s="17">
      <c r="A9" s="29" t="n"/>
      <c r="B9" s="29" t="n"/>
      <c r="C9" s="29" t="n"/>
      <c r="D9" s="29" t="n"/>
      <c r="E9" s="30" t="inlineStr">
        <is>
          <t>https://sig.govern.ad/Sigdde.Public/estadistiquesdades/api/data</t>
        </is>
      </c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</row>
    <row r="10" ht="69.75" customHeight="1" s="17">
      <c r="A10" s="29" t="n"/>
      <c r="B10" s="29" t="n"/>
      <c r="C10" s="29" t="n"/>
      <c r="D10" s="29" t="n"/>
      <c r="E10" s="30" t="inlineStr">
        <is>
          <t>https://www.agia.ad/</t>
        </is>
      </c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</row>
    <row r="11" ht="31.5" customHeight="1" s="17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</row>
    <row r="12" ht="31.5" customHeight="1" s="17">
      <c r="A12" s="29" t="n"/>
      <c r="B12" s="29" t="n"/>
      <c r="C12" s="29" t="n"/>
      <c r="D12" s="29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</row>
    <row r="13" ht="31.5" customHeight="1" s="17">
      <c r="A13" s="29" t="n"/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</row>
    <row r="14" ht="31.5" customHeight="1" s="17">
      <c r="A14" s="29" t="n"/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</row>
    <row r="15" ht="31.5" customHeight="1" s="17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</row>
    <row r="16" ht="69.75" customHeight="1" s="17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</row>
    <row r="17" ht="57" customHeight="1" s="17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</row>
    <row r="18" ht="57" customHeight="1" s="17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</row>
    <row r="19" ht="82.5" customHeight="1" s="17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</row>
    <row r="20" ht="44.25" customHeight="1" s="17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</row>
    <row r="21" ht="44.25" customHeight="1" s="17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</row>
    <row r="22" ht="44.25" customHeight="1" s="17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</row>
    <row r="23" ht="57" customHeight="1" s="17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</row>
    <row r="24" ht="69.75" customHeight="1" s="17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</row>
    <row r="25" ht="57" customHeight="1" s="17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</row>
    <row r="26" ht="44.25" customHeight="1" s="17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4.25" customHeight="1" s="17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57" customHeight="1" s="17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14.25" customHeight="1" s="17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 ht="14.25" customHeight="1" s="17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14.25" customHeight="1" s="17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</row>
    <row r="32" ht="14.25" customHeight="1" s="17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 ht="14.25" customHeight="1" s="17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  <row r="34" ht="14.25" customHeight="1" s="17">
      <c r="A34" s="29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</row>
    <row r="35" ht="14.25" customHeight="1" s="17">
      <c r="A35" s="29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</row>
    <row r="36" ht="14.25" customHeight="1" s="17">
      <c r="A36" s="29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</row>
    <row r="37" ht="14.25" customHeight="1" s="17">
      <c r="A37" s="29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</row>
    <row r="38" ht="14.25" customHeight="1" s="17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</row>
    <row r="39" ht="14.25" customHeight="1" s="17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</row>
    <row r="40" ht="14.25" customHeight="1" s="17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</row>
    <row r="41" ht="14.25" customHeight="1" s="17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</row>
    <row r="42" ht="14.25" customHeight="1" s="17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</row>
    <row r="43" ht="14.25" customHeight="1" s="17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</row>
    <row r="44" ht="14.25" customHeight="1" s="17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</row>
  </sheetData>
  <dataValidations count="6">
    <dataValidation sqref="D5:D44" showDropDown="0" showInputMessage="0" showErrorMessage="0" allowBlank="1" error="Elijan una opción de la lista" type="list" errorStyle="stop" operator="between">
      <formula1>"Entidad pública,Academia u ONG,Plataforma colaborativa,Empresa privada,Medio de comunicación,No se sabe"</formula1>
      <formula2>0</formula2>
    </dataValidation>
    <dataValidation sqref="F5:F44" showDropDown="0" showInputMessage="0" showErrorMessage="0" allowBlank="1" error="Elijan una opción de la lista" type="list" errorStyle="stop" operator="between">
      <formula1>"CSV,JSON,XLSX,Parquet,GeoJSON,Shapefile,PDF,Página web,Otro"</formula1>
      <formula2>0</formula2>
    </dataValidation>
    <dataValidation sqref="G5:G44" showDropDown="0" showInputMessage="0" showErrorMessage="0" allowBlank="1" error="Elijan una opción de la lista" type="list" errorStyle="stop" operator="between">
      <formula1>"API sin llave,API con llave gratuita,Descarga directa,Solo PDF o página,Bloquea scripts o pide sesión"</formula1>
      <formula2>0</formula2>
    </dataValidation>
    <dataValidation sqref="I5:I44" showDropDown="0" showInputMessage="0" showErrorMessage="0" allowBlank="1" error="Elijan una opción de la lista" type="list" errorStyle="stop" operator="between">
      <formula1>"No,Solo conteos por zona,Personas identificables,Texto libre sin revisar"</formula1>
      <formula2>0</formula2>
    </dataValidation>
    <dataValidation sqref="L5:L44" showDropDown="0" showInputMessage="0" showErrorMessage="0" allowBlank="1" error="Elijan una opción de la lista" type="list" errorStyle="stop" operator="between">
      <formula1>"Tiempo real,Diaria,Mensual,Trimestral,Anual,Única vez,No se sabe"</formula1>
      <formula2>0</formula2>
    </dataValidation>
    <dataValidation sqref="N5:N44" showDropDown="0" showInputMessage="0" showErrorMessage="0" allowBlank="1" error="Elijan una opción de la lista" type="list" errorStyle="stop" operator="between">
      <formula1>"Integrada al lago,Candidata,No responde,No existe (la inventó la IA),Descartada"</formula1>
      <formula2>0</formula2>
    </dataValidation>
  </dataValidations>
  <hyperlinks>
    <hyperlink xmlns:r="http://schemas.openxmlformats.org/officeDocument/2006/relationships" ref="E5" display="https://sig.govern.ad/Sigdde.Public/Inici" r:id="rId1"/>
    <hyperlink xmlns:r="http://schemas.openxmlformats.org/officeDocument/2006/relationships" ref="E6" display="https://www.indomio.es/en/mercado-inmobiliario/andorra/andorra-provincia/" r:id="rId2"/>
    <hyperlink xmlns:r="http://schemas.openxmlformats.org/officeDocument/2006/relationships" ref="E7" display="https://overpass-api.de/api/interpreter&#10;https://download.geofabrik.de/europe/andorra.html" r:id="rId3"/>
    <hyperlink xmlns:r="http://schemas.openxmlformats.org/officeDocument/2006/relationships" ref="E8" display="https://sig.govern.ad/Sigdde.Public/estadistiquesdades/api/data" r:id="rId4"/>
    <hyperlink xmlns:r="http://schemas.openxmlformats.org/officeDocument/2006/relationships" ref="E9" display="https://sig.govern.ad/Sigdde.Public/estadistiquesdades/api/data" r:id="rId5"/>
    <hyperlink xmlns:r="http://schemas.openxmlformats.org/officeDocument/2006/relationships" ref="E10" display="https://www.agia.ad/&#10;https://digitalandorra.com/economia/el-preu-de-lhabitatge-continua-disparat-a-andorra-mentre-loferta-de-lloguer-gairebe-es-duplica/" r:id="rId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baseColWidth="8" defaultColWidth="8.77734375" defaultRowHeight="14.25" zeroHeight="0" outlineLevelRow="0"/>
  <cols>
    <col width="9" customWidth="1" style="16" min="1" max="1"/>
    <col width="20" customWidth="1" style="16" min="2" max="2"/>
    <col width="22" customWidth="1" style="16" min="3" max="3"/>
    <col width="20" customWidth="1" style="16" min="4" max="4"/>
    <col width="36" customWidth="1" style="16" min="5" max="5"/>
    <col width="12" customWidth="1" style="16" min="6" max="6"/>
    <col width="16" customWidth="1" style="16" min="7" max="7"/>
    <col width="14" customWidth="1" style="16" min="8" max="8"/>
    <col width="11" customWidth="1" style="16" min="9" max="9"/>
    <col width="22" customWidth="1" style="16" min="10" max="10"/>
    <col width="16" customWidth="1" style="16" min="11" max="11"/>
    <col width="28" customWidth="1" style="16" min="12" max="12"/>
    <col width="32" customWidth="1" style="16" min="13" max="13"/>
    <col width="26" customWidth="1" style="17" min="14" max="14"/>
    <col width="34" customWidth="1" style="17" min="15" max="15"/>
  </cols>
  <sheetData>
    <row r="1" ht="18" customHeight="1" s="17">
      <c r="A1" s="23" t="inlineStr">
        <is>
          <t>2. Diccionario de datos</t>
        </is>
      </c>
    </row>
    <row r="2" ht="14.25" customHeight="1" s="17">
      <c r="A2" s="24" t="inlineStr">
        <is>
          <t>Una fila por campo que quedó en el lago. Si un campo del lago no aparece aquí, no existe.</t>
        </is>
      </c>
    </row>
    <row r="3" ht="42" customHeight="1" s="17">
      <c r="A3" s="25" t="inlineStr">
        <is>
          <t>ID fuente</t>
        </is>
      </c>
      <c r="B3" s="25" t="inlineStr">
        <is>
          <t>Archivo o tabla en el lago</t>
        </is>
      </c>
      <c r="C3" s="25" t="inlineStr">
        <is>
          <t>Nombre del campo en el lago</t>
        </is>
      </c>
      <c r="D3" s="25" t="inlineStr">
        <is>
          <t>Nombre original en la fuente</t>
        </is>
      </c>
      <c r="E3" s="25" t="inlineStr">
        <is>
          <t>Qué significa (en una frase)</t>
        </is>
      </c>
      <c r="F3" s="25" t="inlineStr">
        <is>
          <t>Tipo de dato</t>
        </is>
      </c>
      <c r="G3" s="25" t="inlineStr">
        <is>
          <t>Unidad de medida</t>
        </is>
      </c>
      <c r="H3" s="25" t="inlineStr">
        <is>
          <t>Ejemplo de valor</t>
        </is>
      </c>
      <c r="I3" s="25" t="inlineStr">
        <is>
          <t>¿Puede venir vacío?</t>
        </is>
      </c>
      <c r="J3" s="25" t="inlineStr">
        <is>
          <t>Valores permitidos o rango</t>
        </is>
      </c>
      <c r="K3" s="25" t="inlineStr">
        <is>
          <t>Clasificación</t>
        </is>
      </c>
      <c r="L3" s="25" t="inlineStr">
        <is>
          <t>Transformación que le hicieron</t>
        </is>
      </c>
      <c r="M3" s="25" t="inlineStr">
        <is>
          <t>Pregunta del sistema que ayuda a responder</t>
        </is>
      </c>
      <c r="N3" s="25" t="inlineStr">
        <is>
          <t>Fecha de prueba (AAAA-MM-DD)</t>
        </is>
      </c>
      <c r="O3" s="25" t="inlineStr">
        <is>
          <t>Licencia (texto literal)</t>
        </is>
      </c>
    </row>
    <row r="4" ht="39" customHeight="1" s="17">
      <c r="A4" s="26" t="n"/>
      <c r="B4" s="26" t="n"/>
      <c r="C4" s="26" t="n"/>
      <c r="D4" s="26" t="n"/>
      <c r="E4" s="26" t="n"/>
      <c r="F4" s="26" t="n"/>
      <c r="G4" s="26" t="n"/>
      <c r="H4" s="26" t="n"/>
      <c r="I4" s="26" t="n"/>
      <c r="J4" s="26" t="n"/>
      <c r="K4" s="26" t="n"/>
      <c r="L4" s="26" t="n"/>
      <c r="M4" s="26" t="n"/>
    </row>
    <row r="5" ht="57" customHeight="1" s="17">
      <c r="A5" s="29" t="inlineStr">
        <is>
          <t>F01</t>
        </is>
      </c>
      <c r="B5" s="29" t="inlineStr">
        <is>
          <t>datos_procesados/poblacion_parroquia.csv</t>
        </is>
      </c>
      <c r="C5" s="29" t="inlineStr">
        <is>
          <t>parroquia</t>
        </is>
      </c>
      <c r="D5" s="29" t="inlineStr">
        <is>
          <t>Descripció</t>
        </is>
      </c>
      <c r="E5" s="29" t="inlineStr">
        <is>
          <t>Nombre de la parròquia a la que corresponde la cifra de población</t>
        </is>
      </c>
      <c r="F5" s="29" t="inlineStr">
        <is>
          <t>Texto</t>
        </is>
      </c>
      <c r="G5" s="29" t="inlineStr">
        <is>
          <t>nombre</t>
        </is>
      </c>
      <c r="H5" s="29" t="inlineStr">
        <is>
          <t>Canillo</t>
        </is>
      </c>
      <c r="I5" s="29" t="inlineStr">
        <is>
          <t>No</t>
        </is>
      </c>
      <c r="J5" s="29" t="inlineStr">
        <is>
          <t>Una de las 7 parròquies</t>
        </is>
      </c>
      <c r="K5" s="29" t="inlineStr">
        <is>
          <t>Pública</t>
        </is>
      </c>
      <c r="L5" s="29" t="inlineStr">
        <is>
          <t>Se quita el prefijo 'POBLACIÓ PER PARRÒQUIA.' y se normaliza a nombre canónico; se excluye la fila TOTAL</t>
        </is>
      </c>
      <c r="M5" s="29" t="inlineStr">
        <is>
          <t>¿Cómo se distribuye la población entre las parròquies?</t>
        </is>
      </c>
    </row>
    <row r="6" ht="44.25" customHeight="1" s="17">
      <c r="A6" s="29" t="inlineStr">
        <is>
          <t>F01</t>
        </is>
      </c>
      <c r="B6" s="29" t="inlineStr">
        <is>
          <t>datos_procesados/poblacion_parroquia.csv</t>
        </is>
      </c>
      <c r="C6" s="29" t="inlineStr">
        <is>
          <t>anio</t>
        </is>
      </c>
      <c r="D6" s="29" t="inlineStr">
        <is>
          <t>(año en cabecera)</t>
        </is>
      </c>
      <c r="E6" s="29" t="inlineStr">
        <is>
          <t>Año al que corresponde la cifra de población</t>
        </is>
      </c>
      <c r="F6" s="29" t="inlineStr">
        <is>
          <t>Entero</t>
        </is>
      </c>
      <c r="G6" s="29" t="inlineStr">
        <is>
          <t>año</t>
        </is>
      </c>
      <c r="H6" s="29" t="inlineStr">
        <is>
          <t>2025</t>
        </is>
      </c>
      <c r="I6" s="29" t="inlineStr">
        <is>
          <t>No</t>
        </is>
      </c>
      <c r="J6" s="29" t="inlineStr">
        <is>
          <t>2020 a 2025</t>
        </is>
      </c>
      <c r="K6" s="29" t="inlineStr">
        <is>
          <t>Pública</t>
        </is>
      </c>
      <c r="L6" s="29" t="inlineStr">
        <is>
          <t>Transformación ancho→largo: cada columna de año pasa a ser una fila</t>
        </is>
      </c>
      <c r="M6" s="29" t="inlineStr">
        <is>
          <t>¿Cómo evoluciona la población por parròquia en el tiempo?</t>
        </is>
      </c>
    </row>
    <row r="7" ht="44.25" customHeight="1" s="17">
      <c r="A7" s="29" t="inlineStr">
        <is>
          <t>F01</t>
        </is>
      </c>
      <c r="B7" s="29" t="inlineStr">
        <is>
          <t>datos_procesados/poblacion_parroquia.csv</t>
        </is>
      </c>
      <c r="C7" s="29" t="inlineStr">
        <is>
          <t>poblacion</t>
        </is>
      </c>
      <c r="D7" s="29" t="inlineStr">
        <is>
          <t>(valor de la celda de año)</t>
        </is>
      </c>
      <c r="E7" s="29" t="inlineStr">
        <is>
          <t>Número de habitantes de la parròquia en ese año</t>
        </is>
      </c>
      <c r="F7" s="29" t="inlineStr">
        <is>
          <t>Entero</t>
        </is>
      </c>
      <c r="G7" s="29" t="inlineStr">
        <is>
          <t>personas</t>
        </is>
      </c>
      <c r="H7" s="29" t="inlineStr">
        <is>
          <t>6457</t>
        </is>
      </c>
      <c r="I7" s="29" t="inlineStr">
        <is>
          <t>No</t>
        </is>
      </c>
      <c r="J7" s="29" t="inlineStr">
        <is>
          <t>≥ 0</t>
        </is>
      </c>
      <c r="K7" s="29" t="inlineStr">
        <is>
          <t>Pública</t>
        </is>
      </c>
      <c r="L7" s="29" t="inlineStr">
        <is>
          <t>Se valida que sea entero no negativo; se descartan celdas vacías o no numéricas</t>
        </is>
      </c>
      <c r="M7" s="29" t="inlineStr">
        <is>
          <t>¿Cuántos habitantes tiene cada parròquia?</t>
        </is>
      </c>
    </row>
    <row r="8" ht="57" customHeight="1" s="17">
      <c r="A8" s="29" t="inlineStr">
        <is>
          <t>F01</t>
        </is>
      </c>
      <c r="B8" s="29" t="inlineStr">
        <is>
          <t>datos_procesados/poblacion_parroquia.csv</t>
        </is>
      </c>
      <c r="C8" s="29" t="inlineStr">
        <is>
          <t>fuente</t>
        </is>
      </c>
      <c r="D8" s="29" t="inlineStr">
        <is>
          <t>(anotado)</t>
        </is>
      </c>
      <c r="E8" s="29" t="inlineStr">
        <is>
          <t>Origen oficial del dato de población</t>
        </is>
      </c>
      <c r="F8" s="29" t="inlineStr">
        <is>
          <t>Texto</t>
        </is>
      </c>
      <c r="G8" s="29" t="inlineStr">
        <is>
          <t>texto</t>
        </is>
      </c>
      <c r="H8" s="29" t="inlineStr">
        <is>
          <t>Departament d'Estadística d'Andorra (estadistica_id798)</t>
        </is>
      </c>
      <c r="I8" s="29" t="inlineStr">
        <is>
          <t>No</t>
        </is>
      </c>
      <c r="J8" s="29" t="inlineStr">
        <is>
          <t>Texto de la fuente</t>
        </is>
      </c>
      <c r="K8" s="29" t="inlineStr">
        <is>
          <t>Pública</t>
        </is>
      </c>
      <c r="L8" s="29" t="inlineStr">
        <is>
          <t>Se anota en el procesamiento (gobernanza): 0 cifras sin fuente</t>
        </is>
      </c>
      <c r="M8" s="29" t="inlineStr">
        <is>
          <t>¿De dónde viene cada cifra? (trazabilidad)</t>
        </is>
      </c>
    </row>
    <row r="9" ht="31.5" customHeight="1" s="17">
      <c r="A9" s="29" t="inlineStr">
        <is>
          <t>F01</t>
        </is>
      </c>
      <c r="B9" s="29" t="inlineStr">
        <is>
          <t>datos_procesados/poblacion_parroquia.csv</t>
        </is>
      </c>
      <c r="C9" s="29" t="inlineStr">
        <is>
          <t>vigencia</t>
        </is>
      </c>
      <c r="D9" s="29" t="inlineStr">
        <is>
          <t>(anotado)</t>
        </is>
      </c>
      <c r="E9" s="29" t="inlineStr">
        <is>
          <t>Año o periodo al que corresponde la cifra</t>
        </is>
      </c>
      <c r="F9" s="29" t="inlineStr">
        <is>
          <t>Texto</t>
        </is>
      </c>
      <c r="G9" s="29" t="inlineStr">
        <is>
          <t>año</t>
        </is>
      </c>
      <c r="H9" s="29" t="inlineStr">
        <is>
          <t>2024</t>
        </is>
      </c>
      <c r="I9" s="29" t="inlineStr">
        <is>
          <t>No</t>
        </is>
      </c>
      <c r="J9" s="29" t="inlineStr">
        <is>
          <t>2020 a 2025</t>
        </is>
      </c>
      <c r="K9" s="29" t="inlineStr">
        <is>
          <t>Pública</t>
        </is>
      </c>
      <c r="L9" s="29" t="inlineStr">
        <is>
          <t>Se anota como el año del propio registro</t>
        </is>
      </c>
      <c r="M9" s="29" t="inlineStr">
        <is>
          <t>¿A qué periodo corresponde la cifra?</t>
        </is>
      </c>
    </row>
    <row r="10" ht="31.5" customHeight="1" s="17">
      <c r="A10" s="29" t="inlineStr">
        <is>
          <t>F01</t>
        </is>
      </c>
      <c r="B10" s="29" t="inlineStr">
        <is>
          <t>datos_procesados/poblacion_parroquia.csv</t>
        </is>
      </c>
      <c r="C10" s="29" t="inlineStr">
        <is>
          <t>fecha_prueba</t>
        </is>
      </c>
      <c r="D10" s="29" t="inlineStr">
        <is>
          <t>(anotado)</t>
        </is>
      </c>
      <c r="E10" s="29" t="inlineStr">
        <is>
          <t>Fecha real en que se verificó/procesó el dato</t>
        </is>
      </c>
      <c r="F10" s="29" t="inlineStr">
        <is>
          <t>Fecha</t>
        </is>
      </c>
      <c r="G10" s="29" t="inlineStr">
        <is>
          <t>AAAA-MM-DD</t>
        </is>
      </c>
      <c r="H10" s="29" t="inlineStr">
        <is>
          <t>2026-10-26</t>
        </is>
      </c>
      <c r="I10" s="29" t="inlineStr">
        <is>
          <t>No</t>
        </is>
      </c>
      <c r="J10" s="29" t="inlineStr">
        <is>
          <t>Fecha ISO</t>
        </is>
      </c>
      <c r="K10" s="29" t="inlineStr">
        <is>
          <t>Pública</t>
        </is>
      </c>
      <c r="L10" s="29" t="inlineStr">
        <is>
          <t>Se anota en el procesamiento con la fecha real de ejecución</t>
        </is>
      </c>
      <c r="M10" s="29" t="inlineStr">
        <is>
          <t>¿Cuándo se comprobó la cifra? (frescura)</t>
        </is>
      </c>
    </row>
    <row r="11" ht="31.5" customHeight="1" s="17">
      <c r="A11" s="29" t="inlineStr">
        <is>
          <t>F01</t>
        </is>
      </c>
      <c r="B11" s="29" t="inlineStr">
        <is>
          <t>datos_procesados/poblacion_parroquia.csv</t>
        </is>
      </c>
      <c r="C11" s="29" t="inlineStr">
        <is>
          <t>linaje</t>
        </is>
      </c>
      <c r="D11" s="29" t="inlineStr">
        <is>
          <t>(anotado)</t>
        </is>
      </c>
      <c r="E11" s="29" t="inlineStr">
        <is>
          <t>Clasificación de gobernanza según linaje del dato</t>
        </is>
      </c>
      <c r="F11" s="29" t="inlineStr">
        <is>
          <t>Texto</t>
        </is>
      </c>
      <c r="G11" s="29" t="inlineStr">
        <is>
          <t>etiqueta</t>
        </is>
      </c>
      <c r="H11" s="29" t="inlineStr">
        <is>
          <t>OBSERVADO</t>
        </is>
      </c>
      <c r="I11" s="29" t="inlineStr">
        <is>
          <t>No</t>
        </is>
      </c>
      <c r="J11" s="29" t="inlineStr">
        <is>
          <t>OBSERVADO / ESTIMADO / PROXY</t>
        </is>
      </c>
      <c r="K11" s="29" t="inlineStr">
        <is>
          <t>Pública</t>
        </is>
      </c>
      <c r="L11" s="29" t="inlineStr">
        <is>
          <t>Se etiqueta como OBSERVADO por ser dato oficial de censo</t>
        </is>
      </c>
      <c r="M11" s="29" t="inlineStr">
        <is>
          <t>¿Qué fiabilidad tiene la cifra? (observado vs estimado vs proxy)</t>
        </is>
      </c>
    </row>
    <row r="12" ht="57" customHeight="1" s="17">
      <c r="A12" s="29" t="inlineStr">
        <is>
          <t>F02</t>
        </is>
      </c>
      <c r="B12" s="29" t="inlineStr">
        <is>
          <t>datos_procesados/precios_vivienda.csv</t>
        </is>
      </c>
      <c r="C12" s="29" t="inlineStr">
        <is>
          <t>parroquia</t>
        </is>
      </c>
      <c r="D12" s="29" t="inlineStr">
        <is>
          <t>Municipalities</t>
        </is>
      </c>
      <c r="E12" s="29" t="inlineStr">
        <is>
          <t>Parròquia a la que corresponde el precio de vivienda</t>
        </is>
      </c>
      <c r="F12" s="29" t="inlineStr">
        <is>
          <t>Texto</t>
        </is>
      </c>
      <c r="G12" s="29" t="inlineStr">
        <is>
          <t>nombre</t>
        </is>
      </c>
      <c r="H12" s="29" t="inlineStr">
        <is>
          <t>Andorra la Vella</t>
        </is>
      </c>
      <c r="I12" s="29" t="inlineStr">
        <is>
          <t>No</t>
        </is>
      </c>
      <c r="J12" s="29" t="inlineStr">
        <is>
          <t>Una de las 7 parròquies</t>
        </is>
      </c>
      <c r="K12" s="29" t="inlineStr">
        <is>
          <t>Pública</t>
        </is>
      </c>
      <c r="L12" s="29" t="inlineStr">
        <is>
          <t>Se mapea el municipio de Indomio al nombre canónico (p.ej. 'Sant Julia de Loria'→'Sant Julià de Lòria')</t>
        </is>
      </c>
      <c r="M12" s="29" t="inlineStr">
        <is>
          <t>¿Cómo varían los precios de vivienda entre parròquies?</t>
        </is>
      </c>
    </row>
    <row r="13" ht="44.25" customHeight="1" s="17">
      <c r="A13" s="29" t="inlineStr">
        <is>
          <t>F02</t>
        </is>
      </c>
      <c r="B13" s="29" t="inlineStr">
        <is>
          <t>datos_procesados/precios_vivienda.csv</t>
        </is>
      </c>
      <c r="C13" s="29" t="inlineStr">
        <is>
          <t>precio_venta</t>
        </is>
      </c>
      <c r="D13" s="29" t="inlineStr">
        <is>
          <t>Sale €/m²</t>
        </is>
      </c>
      <c r="E13" s="29" t="inlineStr">
        <is>
          <t>Precio de oferta de venta por metro cuadrado</t>
        </is>
      </c>
      <c r="F13" s="29" t="inlineStr">
        <is>
          <t>Decimal</t>
        </is>
      </c>
      <c r="G13" s="29" t="inlineStr">
        <is>
          <t>€/m²</t>
        </is>
      </c>
      <c r="H13" s="29" t="inlineStr">
        <is>
          <t>7115.0</t>
        </is>
      </c>
      <c r="I13" s="29" t="inlineStr">
        <is>
          <t>Sí</t>
        </is>
      </c>
      <c r="J13" s="29" t="inlineStr">
        <is>
          <t>≥ 0</t>
        </is>
      </c>
      <c r="K13" s="29" t="inlineStr">
        <is>
          <t>Pública</t>
        </is>
      </c>
      <c r="L13" s="29" t="inlineStr">
        <is>
          <t>Se separa la celda '7,115(+14.8%)': se quita la coma de miles y se toma el número</t>
        </is>
      </c>
      <c r="M13" s="29" t="inlineStr">
        <is>
          <t>¿Cuánto cuesta comprar vivienda por parròquia?</t>
        </is>
      </c>
    </row>
    <row r="14" ht="57" customHeight="1" s="17">
      <c r="A14" s="29" t="inlineStr">
        <is>
          <t>F02</t>
        </is>
      </c>
      <c r="B14" s="29" t="inlineStr">
        <is>
          <t>datos_procesados/precios_vivienda.csv</t>
        </is>
      </c>
      <c r="C14" s="29" t="inlineStr">
        <is>
          <t>var_venta</t>
        </is>
      </c>
      <c r="D14" s="29" t="inlineStr">
        <is>
          <t>Sale €/m² (paréntesis)</t>
        </is>
      </c>
      <c r="E14" s="29" t="inlineStr">
        <is>
          <t>Variación interanual del precio de venta</t>
        </is>
      </c>
      <c r="F14" s="29" t="inlineStr">
        <is>
          <t>Decimal</t>
        </is>
      </c>
      <c r="G14" s="29" t="inlineStr">
        <is>
          <t>%</t>
        </is>
      </c>
      <c r="H14" s="29" t="inlineStr">
        <is>
          <t>14.8</t>
        </is>
      </c>
      <c r="I14" s="29" t="inlineStr">
        <is>
          <t>Sí</t>
        </is>
      </c>
      <c r="J14" s="29" t="inlineStr">
        <is>
          <t>Positiva o negativa</t>
        </is>
      </c>
      <c r="K14" s="29" t="inlineStr">
        <is>
          <t>Pública</t>
        </is>
      </c>
      <c r="L14" s="29" t="inlineStr">
        <is>
          <t>Se extrae el porcentaje entre paréntesis de la celda de venta, con su signo</t>
        </is>
      </c>
      <c r="M14" s="29" t="inlineStr">
        <is>
          <t>¿Suben o bajan los precios de venta y cuánto?</t>
        </is>
      </c>
    </row>
    <row r="15" ht="57" customHeight="1" s="17">
      <c r="A15" s="29" t="inlineStr">
        <is>
          <t>F02</t>
        </is>
      </c>
      <c r="B15" s="29" t="inlineStr">
        <is>
          <t>datos_procesados/precios_vivienda.csv</t>
        </is>
      </c>
      <c r="C15" s="29" t="inlineStr">
        <is>
          <t>precio_alquiler</t>
        </is>
      </c>
      <c r="D15" s="29" t="inlineStr">
        <is>
          <t>Rent €/m²</t>
        </is>
      </c>
      <c r="E15" s="29" t="inlineStr">
        <is>
          <t>Precio de oferta de alquiler por metro cuadrado al mes</t>
        </is>
      </c>
      <c r="F15" s="29" t="inlineStr">
        <is>
          <t>Decimal</t>
        </is>
      </c>
      <c r="G15" s="29" t="inlineStr">
        <is>
          <t>€/m²/mes</t>
        </is>
      </c>
      <c r="H15" s="29" t="inlineStr">
        <is>
          <t>24.66</t>
        </is>
      </c>
      <c r="I15" s="29" t="inlineStr">
        <is>
          <t>Sí</t>
        </is>
      </c>
      <c r="J15" s="29" t="inlineStr">
        <is>
          <t>≥ 0</t>
        </is>
      </c>
      <c r="K15" s="29" t="inlineStr">
        <is>
          <t>Pública</t>
        </is>
      </c>
      <c r="L15" s="29" t="inlineStr">
        <is>
          <t>Se separa la celda '24.66(+2.0%)' en precio y variación</t>
        </is>
      </c>
      <c r="M15" s="29" t="inlineStr">
        <is>
          <t>¿Cuánto cuesta alquilar vivienda por parròquia?</t>
        </is>
      </c>
    </row>
    <row r="16" ht="44.25" customHeight="1" s="17">
      <c r="A16" s="29" t="inlineStr">
        <is>
          <t>F02</t>
        </is>
      </c>
      <c r="B16" s="29" t="inlineStr">
        <is>
          <t>datos_procesados/precios_vivienda.csv</t>
        </is>
      </c>
      <c r="C16" s="29" t="inlineStr">
        <is>
          <t>var_alquiler</t>
        </is>
      </c>
      <c r="D16" s="29" t="inlineStr">
        <is>
          <t>Rent €/m² (paréntesis)</t>
        </is>
      </c>
      <c r="E16" s="29" t="inlineStr">
        <is>
          <t>Variación interanual del precio de alquiler</t>
        </is>
      </c>
      <c r="F16" s="29" t="inlineStr">
        <is>
          <t>Decimal</t>
        </is>
      </c>
      <c r="G16" s="29" t="inlineStr">
        <is>
          <t>%</t>
        </is>
      </c>
      <c r="H16" s="29" t="inlineStr">
        <is>
          <t>2.0</t>
        </is>
      </c>
      <c r="I16" s="29" t="inlineStr">
        <is>
          <t>Sí</t>
        </is>
      </c>
      <c r="J16" s="29" t="inlineStr">
        <is>
          <t>Positiva o negativa</t>
        </is>
      </c>
      <c r="K16" s="29" t="inlineStr">
        <is>
          <t>Pública</t>
        </is>
      </c>
      <c r="L16" s="29" t="inlineStr">
        <is>
          <t>Se extrae el porcentaje entre paréntesis de la celda de alquiler, con su signo</t>
        </is>
      </c>
      <c r="M16" s="29" t="inlineStr">
        <is>
          <t>¿Suben o bajan los alquileres y cuánto?</t>
        </is>
      </c>
    </row>
    <row r="17" ht="44.25" customHeight="1" s="17">
      <c r="A17" s="29" t="inlineStr">
        <is>
          <t>F02</t>
        </is>
      </c>
      <c r="B17" s="29" t="inlineStr">
        <is>
          <t>datos_procesados/precios_vivienda.csv</t>
        </is>
      </c>
      <c r="C17" s="29" t="inlineStr">
        <is>
          <t>fuente</t>
        </is>
      </c>
      <c r="D17" s="29" t="inlineStr">
        <is>
          <t>(anotado)</t>
        </is>
      </c>
      <c r="E17" s="29" t="inlineStr">
        <is>
          <t>Origen del dato de precios</t>
        </is>
      </c>
      <c r="F17" s="29" t="inlineStr">
        <is>
          <t>Texto</t>
        </is>
      </c>
      <c r="G17" s="29" t="inlineStr">
        <is>
          <t>texto</t>
        </is>
      </c>
      <c r="H17" s="29" t="inlineStr">
        <is>
          <t>Indomio (scraping, precios de oferta)</t>
        </is>
      </c>
      <c r="I17" s="29" t="inlineStr">
        <is>
          <t>No</t>
        </is>
      </c>
      <c r="J17" s="29" t="inlineStr">
        <is>
          <t>Texto de la fuente</t>
        </is>
      </c>
      <c r="K17" s="29" t="inlineStr">
        <is>
          <t>Pública</t>
        </is>
      </c>
      <c r="L17" s="29" t="inlineStr">
        <is>
          <t>Se anota en el procesamiento (gobernanza)</t>
        </is>
      </c>
      <c r="M17" s="29" t="inlineStr">
        <is>
          <t>¿De dónde viene el precio? (trazabilidad)</t>
        </is>
      </c>
    </row>
    <row r="18" ht="31.5" customHeight="1" s="17">
      <c r="A18" s="29" t="inlineStr">
        <is>
          <t>F02</t>
        </is>
      </c>
      <c r="B18" s="29" t="inlineStr">
        <is>
          <t>datos_procesados/precios_vivienda.csv</t>
        </is>
      </c>
      <c r="C18" s="29" t="inlineStr">
        <is>
          <t>vigencia</t>
        </is>
      </c>
      <c r="D18" s="29" t="inlineStr">
        <is>
          <t>(anotado)</t>
        </is>
      </c>
      <c r="E18" s="29" t="inlineStr">
        <is>
          <t>Periodo de la extracción del precio</t>
        </is>
      </c>
      <c r="F18" s="29" t="inlineStr">
        <is>
          <t>Texto</t>
        </is>
      </c>
      <c r="G18" s="29" t="inlineStr">
        <is>
          <t>año</t>
        </is>
      </c>
      <c r="H18" s="29" t="inlineStr">
        <is>
          <t>2026</t>
        </is>
      </c>
      <c r="I18" s="29" t="inlineStr">
        <is>
          <t>No</t>
        </is>
      </c>
      <c r="J18" s="29" t="inlineStr">
        <is>
          <t>Año de la extracción</t>
        </is>
      </c>
      <c r="K18" s="29" t="inlineStr">
        <is>
          <t>Pública</t>
        </is>
      </c>
      <c r="L18" s="29" t="inlineStr">
        <is>
          <t>Se anota como el año de fecha_prueba</t>
        </is>
      </c>
      <c r="M18" s="29" t="inlineStr">
        <is>
          <t>¿A qué periodo corresponde el precio?</t>
        </is>
      </c>
    </row>
    <row r="19" ht="57" customHeight="1" s="17">
      <c r="A19" s="29" t="inlineStr">
        <is>
          <t>F02</t>
        </is>
      </c>
      <c r="B19" s="29" t="inlineStr">
        <is>
          <t>datos_procesados/precios_vivienda.csv</t>
        </is>
      </c>
      <c r="C19" s="29" t="inlineStr">
        <is>
          <t>fecha_prueba</t>
        </is>
      </c>
      <c r="D19" s="29" t="inlineStr">
        <is>
          <t>(anotado)</t>
        </is>
      </c>
      <c r="E19" s="29" t="inlineStr">
        <is>
          <t>Fecha real en que se extrajo/verificó el precio</t>
        </is>
      </c>
      <c r="F19" s="29" t="inlineStr">
        <is>
          <t>Fecha</t>
        </is>
      </c>
      <c r="G19" s="29" t="inlineStr">
        <is>
          <t>AAAA-MM-DD</t>
        </is>
      </c>
      <c r="H19" s="29" t="inlineStr">
        <is>
          <t>2026-10-26</t>
        </is>
      </c>
      <c r="I19" s="29" t="inlineStr">
        <is>
          <t>No</t>
        </is>
      </c>
      <c r="J19" s="29" t="inlineStr">
        <is>
          <t>Fecha ISO</t>
        </is>
      </c>
      <c r="K19" s="29" t="inlineStr">
        <is>
          <t>Pública</t>
        </is>
      </c>
      <c r="L19" s="29" t="inlineStr">
        <is>
          <t>Se anota con la fecha real de ejecución del scraping/procesamiento</t>
        </is>
      </c>
      <c r="M19" s="29" t="inlineStr">
        <is>
          <t>¿Cuándo se capturó el precio? (frescura)</t>
        </is>
      </c>
    </row>
    <row r="20" ht="44.25" customHeight="1" s="17">
      <c r="A20" s="29" t="inlineStr">
        <is>
          <t>F02</t>
        </is>
      </c>
      <c r="B20" s="29" t="inlineStr">
        <is>
          <t>datos_procesados/precios_vivienda.csv</t>
        </is>
      </c>
      <c r="C20" s="29" t="inlineStr">
        <is>
          <t>linaje</t>
        </is>
      </c>
      <c r="D20" s="29" t="inlineStr">
        <is>
          <t>(anotado)</t>
        </is>
      </c>
      <c r="E20" s="29" t="inlineStr">
        <is>
          <t>Clasificación de gobernanza del dato</t>
        </is>
      </c>
      <c r="F20" s="29" t="inlineStr">
        <is>
          <t>Texto</t>
        </is>
      </c>
      <c r="G20" s="29" t="inlineStr">
        <is>
          <t>etiqueta</t>
        </is>
      </c>
      <c r="H20" s="29" t="inlineStr">
        <is>
          <t>PROXY</t>
        </is>
      </c>
      <c r="I20" s="29" t="inlineStr">
        <is>
          <t>No</t>
        </is>
      </c>
      <c r="J20" s="29" t="inlineStr">
        <is>
          <t>OBSERVADO / ESTIMADO / PROXY</t>
        </is>
      </c>
      <c r="K20" s="29" t="inlineStr">
        <is>
          <t>Pública</t>
        </is>
      </c>
      <c r="L20" s="29" t="inlineStr">
        <is>
          <t>Se etiqueta como PROXY por ser precio de oferta de anuncios, no de transacción</t>
        </is>
      </c>
      <c r="M20" s="29" t="inlineStr">
        <is>
          <t>¿Qué fiabilidad tiene el precio? (es oferta, no cierre real)</t>
        </is>
      </c>
    </row>
    <row r="21" ht="44.25" customHeight="1" s="17">
      <c r="A21" s="29" t="inlineStr">
        <is>
          <t>F30</t>
        </is>
      </c>
      <c r="B21" s="29" t="inlineStr">
        <is>
          <t>datos_procesados/turismo.csv</t>
        </is>
      </c>
      <c r="C21" s="29" t="inlineStr">
        <is>
          <t>periodo</t>
        </is>
      </c>
      <c r="D21" s="29" t="inlineStr">
        <is>
          <t>Any / període</t>
        </is>
      </c>
      <c r="E21" s="29" t="inlineStr">
        <is>
          <t>Año al que corresponde la partida de turismo</t>
        </is>
      </c>
      <c r="F21" s="29" t="inlineStr">
        <is>
          <t>Texto</t>
        </is>
      </c>
      <c r="G21" s="29" t="inlineStr">
        <is>
          <t>año</t>
        </is>
      </c>
      <c r="H21" s="29" t="inlineStr">
        <is>
          <t>2024</t>
        </is>
      </c>
      <c r="I21" s="29" t="inlineStr">
        <is>
          <t>No</t>
        </is>
      </c>
      <c r="J21" s="29" t="inlineStr">
        <is>
          <t>2020 a 2025</t>
        </is>
      </c>
      <c r="K21" s="29" t="inlineStr">
        <is>
          <t>Pública</t>
        </is>
      </c>
      <c r="L21" s="29" t="inlineStr">
        <is>
          <t>Se normaliza el año a texto</t>
        </is>
      </c>
      <c r="M21" s="29" t="inlineStr">
        <is>
          <t>¿Cómo evoluciona el presupuesto de turismo en el tiempo?</t>
        </is>
      </c>
    </row>
    <row r="22" ht="31.5" customHeight="1" s="17">
      <c r="A22" s="29" t="inlineStr">
        <is>
          <t>F30</t>
        </is>
      </c>
      <c r="B22" s="29" t="inlineStr">
        <is>
          <t>datos_procesados/turismo.csv</t>
        </is>
      </c>
      <c r="C22" s="29" t="inlineStr">
        <is>
          <t>partida</t>
        </is>
      </c>
      <c r="D22" s="29" t="inlineStr">
        <is>
          <t>Concepte</t>
        </is>
      </c>
      <c r="E22" s="29" t="inlineStr">
        <is>
          <t>Partida o concepto de gasto de Andorra Turisme SAU</t>
        </is>
      </c>
      <c r="F22" s="29" t="inlineStr">
        <is>
          <t>Texto</t>
        </is>
      </c>
      <c r="G22" s="29" t="inlineStr">
        <is>
          <t>texto</t>
        </is>
      </c>
      <c r="H22" s="29" t="inlineStr">
        <is>
          <t>DESPESES DE FUNCIONAMENT</t>
        </is>
      </c>
      <c r="I22" s="29" t="inlineStr">
        <is>
          <t>No</t>
        </is>
      </c>
      <c r="J22" s="29" t="inlineStr">
        <is>
          <t>Texto del concepto</t>
        </is>
      </c>
      <c r="K22" s="29" t="inlineStr">
        <is>
          <t>Pública</t>
        </is>
      </c>
      <c r="L22" s="29" t="inlineStr">
        <is>
          <t>Se conserva el nombre del concepto tal como viene de la fuente</t>
        </is>
      </c>
      <c r="M22" s="29" t="inlineStr">
        <is>
          <t>¿En qué se reparte el gasto de turismo?</t>
        </is>
      </c>
    </row>
    <row r="23" ht="31.5" customHeight="1" s="17">
      <c r="A23" s="29" t="inlineStr">
        <is>
          <t>F30</t>
        </is>
      </c>
      <c r="B23" s="29" t="inlineStr">
        <is>
          <t>datos_procesados/turismo.csv</t>
        </is>
      </c>
      <c r="C23" s="29" t="inlineStr">
        <is>
          <t>valor_eur</t>
        </is>
      </c>
      <c r="D23" s="29" t="inlineStr">
        <is>
          <t>Import (€)</t>
        </is>
      </c>
      <c r="E23" s="29" t="inlineStr">
        <is>
          <t>Importe en euros de la partida de turismo</t>
        </is>
      </c>
      <c r="F23" s="29" t="inlineStr">
        <is>
          <t>Decimal</t>
        </is>
      </c>
      <c r="G23" s="29" t="inlineStr">
        <is>
          <t>€</t>
        </is>
      </c>
      <c r="H23" s="29" t="inlineStr">
        <is>
          <t>17378555.0</t>
        </is>
      </c>
      <c r="I23" s="29" t="inlineStr">
        <is>
          <t>No</t>
        </is>
      </c>
      <c r="J23" s="29" t="inlineStr">
        <is>
          <t>≥ 0</t>
        </is>
      </c>
      <c r="K23" s="29" t="inlineStr">
        <is>
          <t>Pública</t>
        </is>
      </c>
      <c r="L23" s="29" t="inlineStr">
        <is>
          <t>Se convierte el importe a número decimal</t>
        </is>
      </c>
      <c r="M23" s="29" t="inlineStr">
        <is>
          <t>¿Cuánto gasta Andorra en turismo por año?</t>
        </is>
      </c>
    </row>
    <row r="24" ht="57" customHeight="1" s="17">
      <c r="A24" s="29" t="inlineStr">
        <is>
          <t>F30</t>
        </is>
      </c>
      <c r="B24" s="29" t="inlineStr">
        <is>
          <t>datos_procesados/turismo.csv</t>
        </is>
      </c>
      <c r="C24" s="29" t="inlineStr">
        <is>
          <t>fuente</t>
        </is>
      </c>
      <c r="D24" s="29" t="inlineStr">
        <is>
          <t>(anotado)</t>
        </is>
      </c>
      <c r="E24" s="29" t="inlineStr">
        <is>
          <t>Origen oficial del dato de turismo</t>
        </is>
      </c>
      <c r="F24" s="29" t="inlineStr">
        <is>
          <t>Texto</t>
        </is>
      </c>
      <c r="G24" s="29" t="inlineStr">
        <is>
          <t>texto</t>
        </is>
      </c>
      <c r="H24" s="29" t="inlineStr">
        <is>
          <t>Departament d'Estadística d'Andorra (estadistica_681, Andorra Turisme SAU)</t>
        </is>
      </c>
      <c r="I24" s="29" t="inlineStr">
        <is>
          <t>No</t>
        </is>
      </c>
      <c r="J24" s="29" t="inlineStr">
        <is>
          <t>Texto de la fuente</t>
        </is>
      </c>
      <c r="K24" s="29" t="inlineStr">
        <is>
          <t>Pública</t>
        </is>
      </c>
      <c r="L24" s="29" t="inlineStr">
        <is>
          <t>Se anota en el procesamiento (gobernanza)</t>
        </is>
      </c>
      <c r="M24" s="29" t="inlineStr">
        <is>
          <t>¿De dónde viene la cifra de turismo? (trazabilidad)</t>
        </is>
      </c>
    </row>
    <row r="25" ht="31.5" customHeight="1" s="17">
      <c r="A25" s="29" t="inlineStr">
        <is>
          <t>F30</t>
        </is>
      </c>
      <c r="B25" s="29" t="inlineStr">
        <is>
          <t>datos_procesados/turismo.csv</t>
        </is>
      </c>
      <c r="C25" s="29" t="inlineStr">
        <is>
          <t>vigencia</t>
        </is>
      </c>
      <c r="D25" s="29" t="inlineStr">
        <is>
          <t>(anotado)</t>
        </is>
      </c>
      <c r="E25" s="29" t="inlineStr">
        <is>
          <t>Año al que corresponde la cifra de turismo</t>
        </is>
      </c>
      <c r="F25" s="29" t="inlineStr">
        <is>
          <t>Texto</t>
        </is>
      </c>
      <c r="G25" s="29" t="inlineStr">
        <is>
          <t>año</t>
        </is>
      </c>
      <c r="H25" s="29" t="inlineStr">
        <is>
          <t>2024</t>
        </is>
      </c>
      <c r="I25" s="29" t="inlineStr">
        <is>
          <t>No</t>
        </is>
      </c>
      <c r="J25" s="29" t="inlineStr">
        <is>
          <t>2020 a 2025</t>
        </is>
      </c>
      <c r="K25" s="29" t="inlineStr">
        <is>
          <t>Pública</t>
        </is>
      </c>
      <c r="L25" s="29" t="inlineStr">
        <is>
          <t>Se anota como el año del propio registro</t>
        </is>
      </c>
      <c r="M25" s="29" t="inlineStr">
        <is>
          <t>¿A qué periodo corresponde la cifra?</t>
        </is>
      </c>
    </row>
    <row r="26" ht="31.5" customHeight="1" s="17">
      <c r="A26" s="29" t="inlineStr">
        <is>
          <t>F30</t>
        </is>
      </c>
      <c r="B26" s="29" t="inlineStr">
        <is>
          <t>datos_procesados/turismo.csv</t>
        </is>
      </c>
      <c r="C26" s="29" t="inlineStr">
        <is>
          <t>fecha_prueba</t>
        </is>
      </c>
      <c r="D26" s="29" t="inlineStr">
        <is>
          <t>(anotado)</t>
        </is>
      </c>
      <c r="E26" s="29" t="inlineStr">
        <is>
          <t>Fecha real en que se verificó/procesó el dato</t>
        </is>
      </c>
      <c r="F26" s="29" t="inlineStr">
        <is>
          <t>Fecha</t>
        </is>
      </c>
      <c r="G26" s="29" t="inlineStr">
        <is>
          <t>AAAA-MM-DD</t>
        </is>
      </c>
      <c r="H26" s="29" t="inlineStr">
        <is>
          <t>2026-10-26</t>
        </is>
      </c>
      <c r="I26" s="29" t="inlineStr">
        <is>
          <t>No</t>
        </is>
      </c>
      <c r="J26" s="29" t="inlineStr">
        <is>
          <t>Fecha ISO</t>
        </is>
      </c>
      <c r="K26" s="29" t="inlineStr">
        <is>
          <t>Pública</t>
        </is>
      </c>
      <c r="L26" s="29" t="inlineStr">
        <is>
          <t>Se anota en el procesamiento con la fecha real de ejecución</t>
        </is>
      </c>
      <c r="M26" s="29" t="inlineStr">
        <is>
          <t>¿Cuándo se comprobó la cifra? (frescura)</t>
        </is>
      </c>
    </row>
    <row r="27" ht="31.5" customHeight="1" s="17">
      <c r="A27" s="29" t="inlineStr">
        <is>
          <t>F30</t>
        </is>
      </c>
      <c r="B27" s="29" t="inlineStr">
        <is>
          <t>datos_procesados/turismo.csv</t>
        </is>
      </c>
      <c r="C27" s="29" t="inlineStr">
        <is>
          <t>linaje</t>
        </is>
      </c>
      <c r="D27" s="29" t="inlineStr">
        <is>
          <t>(anotado)</t>
        </is>
      </c>
      <c r="E27" s="29" t="inlineStr">
        <is>
          <t>Clasificación de gobernanza del dato</t>
        </is>
      </c>
      <c r="F27" s="29" t="inlineStr">
        <is>
          <t>Texto</t>
        </is>
      </c>
      <c r="G27" s="29" t="inlineStr">
        <is>
          <t>etiqueta</t>
        </is>
      </c>
      <c r="H27" s="29" t="inlineStr">
        <is>
          <t>OBSERVADO</t>
        </is>
      </c>
      <c r="I27" s="29" t="inlineStr">
        <is>
          <t>No</t>
        </is>
      </c>
      <c r="J27" s="29" t="inlineStr">
        <is>
          <t>OBSERVADO / ESTIMADO / PROXY</t>
        </is>
      </c>
      <c r="K27" s="29" t="inlineStr">
        <is>
          <t>Pública</t>
        </is>
      </c>
      <c r="L27" s="29" t="inlineStr">
        <is>
          <t>Se etiqueta como OBSERVADO por ser dato oficial de ejecución presupuestaria</t>
        </is>
      </c>
      <c r="M27" s="29" t="inlineStr">
        <is>
          <t>¿Qué fiabilidad tiene la cifra?</t>
        </is>
      </c>
    </row>
    <row r="28" ht="31.5" customHeight="1" s="17">
      <c r="A28" s="29" t="inlineStr">
        <is>
          <t>F31</t>
        </is>
      </c>
      <c r="B28" s="29" t="inlineStr">
        <is>
          <t>datos_procesados/inversiones_inmobiliarias.csv</t>
        </is>
      </c>
      <c r="C28" s="29" t="inlineStr">
        <is>
          <t>anio</t>
        </is>
      </c>
      <c r="D28" s="29" t="inlineStr">
        <is>
          <t>Any</t>
        </is>
      </c>
      <c r="E28" s="29" t="inlineStr">
        <is>
          <t>Año al que corresponde el número de inversiones</t>
        </is>
      </c>
      <c r="F28" s="29" t="inlineStr">
        <is>
          <t>Entero</t>
        </is>
      </c>
      <c r="G28" s="29" t="inlineStr">
        <is>
          <t>año</t>
        </is>
      </c>
      <c r="H28" s="29" t="inlineStr">
        <is>
          <t>2024</t>
        </is>
      </c>
      <c r="I28" s="29" t="inlineStr">
        <is>
          <t>No</t>
        </is>
      </c>
      <c r="J28" s="29" t="inlineStr">
        <is>
          <t>2020 a 2025</t>
        </is>
      </c>
      <c r="K28" s="29" t="inlineStr">
        <is>
          <t>Pública</t>
        </is>
      </c>
      <c r="L28" s="29" t="inlineStr">
        <is>
          <t>Se normaliza el año a entero</t>
        </is>
      </c>
      <c r="M28" s="29" t="inlineStr">
        <is>
          <t>¿Cómo evoluciona la inversión inmobiliaria en el tiempo?</t>
        </is>
      </c>
    </row>
    <row r="29" ht="31.5" customHeight="1" s="17">
      <c r="A29" s="29" t="inlineStr">
        <is>
          <t>F31</t>
        </is>
      </c>
      <c r="B29" s="29" t="inlineStr">
        <is>
          <t>datos_procesados/inversiones_inmobiliarias.csv</t>
        </is>
      </c>
      <c r="C29" s="29" t="inlineStr">
        <is>
          <t>num_inversiones</t>
        </is>
      </c>
      <c r="D29" s="29" t="inlineStr">
        <is>
          <t>Nombre d'inversions immobiliàries</t>
        </is>
      </c>
      <c r="E29" s="29" t="inlineStr">
        <is>
          <t>Número de inversiones inmobiliarias registradas en el año</t>
        </is>
      </c>
      <c r="F29" s="29" t="inlineStr">
        <is>
          <t>Entero</t>
        </is>
      </c>
      <c r="G29" s="29" t="inlineStr">
        <is>
          <t>inversiones</t>
        </is>
      </c>
      <c r="H29" s="29" t="inlineStr">
        <is>
          <t>501</t>
        </is>
      </c>
      <c r="I29" s="29" t="inlineStr">
        <is>
          <t>No</t>
        </is>
      </c>
      <c r="J29" s="29" t="inlineStr">
        <is>
          <t>≥ 0</t>
        </is>
      </c>
      <c r="K29" s="29" t="inlineStr">
        <is>
          <t>Pública</t>
        </is>
      </c>
      <c r="L29" s="29" t="inlineStr">
        <is>
          <t>Se valida que sea entero no negativo</t>
        </is>
      </c>
      <c r="M29" s="29" t="inlineStr">
        <is>
          <t>¿Cuánta inversión inmobiliaria hay por año?</t>
        </is>
      </c>
    </row>
    <row r="30" ht="31.5" customHeight="1" s="17">
      <c r="A30" s="29" t="inlineStr">
        <is>
          <t>F31</t>
        </is>
      </c>
      <c r="B30" s="29" t="inlineStr">
        <is>
          <t>datos_procesados/inversiones_inmobiliarias.csv</t>
        </is>
      </c>
      <c r="C30" s="29" t="inlineStr">
        <is>
          <t>fuente</t>
        </is>
      </c>
      <c r="D30" s="29" t="inlineStr">
        <is>
          <t>(anotado)</t>
        </is>
      </c>
      <c r="E30" s="29" t="inlineStr">
        <is>
          <t>Origen oficial del dato de inversiones</t>
        </is>
      </c>
      <c r="F30" s="29" t="inlineStr">
        <is>
          <t>Texto</t>
        </is>
      </c>
      <c r="G30" s="29" t="inlineStr">
        <is>
          <t>texto</t>
        </is>
      </c>
      <c r="H30" s="29" t="inlineStr">
        <is>
          <t>Departament d'Estadística d'Andorra (estadistica_2729, inversions immobiliàries)</t>
        </is>
      </c>
      <c r="I30" s="29" t="inlineStr">
        <is>
          <t>No</t>
        </is>
      </c>
      <c r="J30" s="29" t="inlineStr">
        <is>
          <t>Texto de la fuente</t>
        </is>
      </c>
      <c r="K30" s="29" t="inlineStr">
        <is>
          <t>Pública</t>
        </is>
      </c>
      <c r="L30" s="29" t="inlineStr">
        <is>
          <t>Se anota en el procesamiento (gobernanza)</t>
        </is>
      </c>
      <c r="M30" s="29" t="inlineStr">
        <is>
          <t>¿De dónde viene la cifra de inversiones? (trazabilidad)</t>
        </is>
      </c>
    </row>
    <row r="31" ht="31.5" customHeight="1" s="17">
      <c r="A31" s="29" t="inlineStr">
        <is>
          <t>F31</t>
        </is>
      </c>
      <c r="B31" s="29" t="inlineStr">
        <is>
          <t>datos_procesados/inversiones_inmobiliarias.csv</t>
        </is>
      </c>
      <c r="C31" s="29" t="inlineStr">
        <is>
          <t>vigencia</t>
        </is>
      </c>
      <c r="D31" s="29" t="inlineStr">
        <is>
          <t>(anotado)</t>
        </is>
      </c>
      <c r="E31" s="29" t="inlineStr">
        <is>
          <t>Año al que corresponde la cifra de inversiones</t>
        </is>
      </c>
      <c r="F31" s="29" t="inlineStr">
        <is>
          <t>Texto</t>
        </is>
      </c>
      <c r="G31" s="29" t="inlineStr">
        <is>
          <t>año</t>
        </is>
      </c>
      <c r="H31" s="29" t="inlineStr">
        <is>
          <t>2024</t>
        </is>
      </c>
      <c r="I31" s="29" t="inlineStr">
        <is>
          <t>No</t>
        </is>
      </c>
      <c r="J31" s="29" t="inlineStr">
        <is>
          <t>2020 a 2025</t>
        </is>
      </c>
      <c r="K31" s="29" t="inlineStr">
        <is>
          <t>Pública</t>
        </is>
      </c>
      <c r="L31" s="29" t="inlineStr">
        <is>
          <t>Se anota como el año del propio registro</t>
        </is>
      </c>
      <c r="M31" s="29" t="inlineStr">
        <is>
          <t>¿A qué periodo corresponde la cifra?</t>
        </is>
      </c>
    </row>
    <row r="32" ht="31.5" customHeight="1" s="17">
      <c r="A32" s="29" t="inlineStr">
        <is>
          <t>F31</t>
        </is>
      </c>
      <c r="B32" s="29" t="inlineStr">
        <is>
          <t>datos_procesados/inversiones_inmobiliarias.csv</t>
        </is>
      </c>
      <c r="C32" s="29" t="inlineStr">
        <is>
          <t>fecha_prueba</t>
        </is>
      </c>
      <c r="D32" s="29" t="inlineStr">
        <is>
          <t>(anotado)</t>
        </is>
      </c>
      <c r="E32" s="29" t="inlineStr">
        <is>
          <t>Fecha real en que se verificó/procesó el dato</t>
        </is>
      </c>
      <c r="F32" s="29" t="inlineStr">
        <is>
          <t>Fecha</t>
        </is>
      </c>
      <c r="G32" s="29" t="inlineStr">
        <is>
          <t>AAAA-MM-DD</t>
        </is>
      </c>
      <c r="H32" s="29" t="inlineStr">
        <is>
          <t>2026-10-26</t>
        </is>
      </c>
      <c r="I32" s="29" t="inlineStr">
        <is>
          <t>No</t>
        </is>
      </c>
      <c r="J32" s="29" t="inlineStr">
        <is>
          <t>Fecha ISO</t>
        </is>
      </c>
      <c r="K32" s="29" t="inlineStr">
        <is>
          <t>Pública</t>
        </is>
      </c>
      <c r="L32" s="29" t="inlineStr">
        <is>
          <t>Se anota en el procesamiento con la fecha real de ejecución</t>
        </is>
      </c>
      <c r="M32" s="29" t="inlineStr">
        <is>
          <t>¿Cuándo se comprobó la cifra? (frescura)</t>
        </is>
      </c>
    </row>
    <row r="33" ht="31.5" customHeight="1" s="17">
      <c r="A33" s="29" t="inlineStr">
        <is>
          <t>F31</t>
        </is>
      </c>
      <c r="B33" s="29" t="inlineStr">
        <is>
          <t>datos_procesados/inversiones_inmobiliarias.csv</t>
        </is>
      </c>
      <c r="C33" s="29" t="inlineStr">
        <is>
          <t>linaje</t>
        </is>
      </c>
      <c r="D33" s="29" t="inlineStr">
        <is>
          <t>(anotado)</t>
        </is>
      </c>
      <c r="E33" s="29" t="inlineStr">
        <is>
          <t>Clasificación de gobernanza del dato</t>
        </is>
      </c>
      <c r="F33" s="29" t="inlineStr">
        <is>
          <t>Texto</t>
        </is>
      </c>
      <c r="G33" s="29" t="inlineStr">
        <is>
          <t>etiqueta</t>
        </is>
      </c>
      <c r="H33" s="29" t="inlineStr">
        <is>
          <t>OBSERVADO</t>
        </is>
      </c>
      <c r="I33" s="29" t="inlineStr">
        <is>
          <t>No</t>
        </is>
      </c>
      <c r="J33" s="29" t="inlineStr">
        <is>
          <t>OBSERVADO / ESTIMADO / PROXY</t>
        </is>
      </c>
      <c r="K33" s="29" t="inlineStr">
        <is>
          <t>Pública</t>
        </is>
      </c>
      <c r="L33" s="29" t="inlineStr">
        <is>
          <t>Se etiqueta como OBSERVADO por ser dato oficial de registro</t>
        </is>
      </c>
      <c r="M33" s="29" t="inlineStr">
        <is>
          <t>¿Qué fiabilidad tiene la cifra?</t>
        </is>
      </c>
    </row>
    <row r="34" ht="31.5" customHeight="1" s="17">
      <c r="A34" s="29" t="inlineStr">
        <is>
          <t>F10</t>
        </is>
      </c>
      <c r="B34" s="29" t="inlineStr">
        <is>
          <t>datos_procesados/poblacion_desgloses.csv</t>
        </is>
      </c>
      <c r="C34" s="29" t="inlineStr">
        <is>
          <t>parroquia</t>
        </is>
      </c>
      <c r="D34" s="29" t="inlineStr">
        <is>
          <t>Descripció</t>
        </is>
      </c>
      <c r="E34" s="29" t="inlineStr">
        <is>
          <t>Parròquia a la que corresponde el desglose de población</t>
        </is>
      </c>
      <c r="F34" s="29" t="inlineStr">
        <is>
          <t>Texto</t>
        </is>
      </c>
      <c r="G34" s="29" t="inlineStr">
        <is>
          <t>nombre</t>
        </is>
      </c>
      <c r="H34" s="29" t="inlineStr">
        <is>
          <t>Canillo</t>
        </is>
      </c>
      <c r="I34" s="29" t="inlineStr">
        <is>
          <t>No</t>
        </is>
      </c>
      <c r="J34" s="29" t="inlineStr">
        <is>
          <t>Una de las 7 parròquies</t>
        </is>
      </c>
      <c r="K34" s="29" t="inlineStr">
        <is>
          <t>Pública</t>
        </is>
      </c>
      <c r="L34" s="29" t="inlineStr">
        <is>
          <t>Se extrae del patrón 'CATEGORIA. PARRÒQUIA. SUBCATEGORIA' y se normaliza a nombre canónico</t>
        </is>
      </c>
      <c r="M34" s="29" t="inlineStr">
        <is>
          <t>¿Cómo se compone la población de cada parròquia (edad, sexo, nacionalidad, origen)?</t>
        </is>
      </c>
      <c r="N34" t="inlineStr">
        <is>
          <t>2026-10-26</t>
        </is>
      </c>
      <c r="O34" t="inlineStr">
        <is>
          <t>INCOMPLETA: falta texto literal de licencia de la fuente</t>
        </is>
      </c>
    </row>
    <row r="35" ht="31.5" customHeight="1" s="17">
      <c r="A35" s="29" t="inlineStr">
        <is>
          <t>F10</t>
        </is>
      </c>
      <c r="B35" s="29" t="inlineStr">
        <is>
          <t>datos_procesados/poblacion_desgloses.csv</t>
        </is>
      </c>
      <c r="C35" s="29" t="inlineStr">
        <is>
          <t>dimension</t>
        </is>
      </c>
      <c r="D35" s="29" t="inlineStr">
        <is>
          <t>(derivado del archivo)</t>
        </is>
      </c>
      <c r="E35" s="29" t="inlineStr">
        <is>
          <t>Dimensión del desglose de población</t>
        </is>
      </c>
      <c r="F35" s="29" t="inlineStr">
        <is>
          <t>Texto</t>
        </is>
      </c>
      <c r="G35" s="29" t="inlineStr">
        <is>
          <t>etiqueta</t>
        </is>
      </c>
      <c r="H35" s="29" t="inlineStr">
        <is>
          <t>edad_5</t>
        </is>
      </c>
      <c r="I35" s="29" t="inlineStr">
        <is>
          <t>No</t>
        </is>
      </c>
      <c r="J35" s="29" t="inlineStr">
        <is>
          <t>edad_5 / edad_1 / sexo / nacionalidad / lugar_nacimiento</t>
        </is>
      </c>
      <c r="K35" s="29" t="inlineStr">
        <is>
          <t>Pública</t>
        </is>
      </c>
      <c r="L35" s="29" t="inlineStr">
        <is>
          <t>Se asigna según el crudo de desglose procesado</t>
        </is>
      </c>
      <c r="M35" s="29" t="inlineStr">
        <is>
          <t>¿Cómo se compone la población de cada parròquia (edad, sexo, nacionalidad, origen)?</t>
        </is>
      </c>
      <c r="N35" t="inlineStr">
        <is>
          <t>2026-10-26</t>
        </is>
      </c>
      <c r="O35" t="inlineStr">
        <is>
          <t>INCOMPLETA: falta texto literal de licencia de la fuente</t>
        </is>
      </c>
    </row>
    <row r="36" ht="25.5" customHeight="1" s="17">
      <c r="A36" s="29" t="inlineStr">
        <is>
          <t>F10</t>
        </is>
      </c>
      <c r="B36" s="29" t="inlineStr">
        <is>
          <t>datos_procesados/poblacion_desgloses.csv</t>
        </is>
      </c>
      <c r="C36" s="29" t="inlineStr">
        <is>
          <t>categoria</t>
        </is>
      </c>
      <c r="D36" s="29" t="inlineStr">
        <is>
          <t>Descripció</t>
        </is>
      </c>
      <c r="E36" s="29" t="inlineStr">
        <is>
          <t>Categoría dentro de la dimensión (tramo, sexo, nacionalidad u origen)</t>
        </is>
      </c>
      <c r="F36" s="29" t="inlineStr">
        <is>
          <t>Texto</t>
        </is>
      </c>
      <c r="G36" s="29" t="inlineStr">
        <is>
          <t>etiqueta</t>
        </is>
      </c>
      <c r="H36" s="29" t="inlineStr">
        <is>
          <t>DE 00-04 ANYS</t>
        </is>
      </c>
      <c r="I36" s="29" t="inlineStr">
        <is>
          <t>No</t>
        </is>
      </c>
      <c r="J36" s="29" t="inlineStr">
        <is>
          <t>Depende de la dimensión</t>
        </is>
      </c>
      <c r="K36" s="29" t="inlineStr">
        <is>
          <t>Pública</t>
        </is>
      </c>
      <c r="L36" s="29" t="inlineStr">
        <is>
          <t>Se extrae del patrón 'CATEGORIA. PARRÒQUIA. SUBCATEGORIA'</t>
        </is>
      </c>
      <c r="M36" s="29" t="inlineStr">
        <is>
          <t>¿Cómo se compone la población de cada parròquia (edad, sexo, nacionalidad, origen)?</t>
        </is>
      </c>
      <c r="N36" t="inlineStr">
        <is>
          <t>2026-10-26</t>
        </is>
      </c>
      <c r="O36" t="inlineStr">
        <is>
          <t>INCOMPLETA: falta texto literal de licencia de la fuente</t>
        </is>
      </c>
    </row>
    <row r="37" ht="14.25" customHeight="1" s="17">
      <c r="A37" s="29" t="inlineStr">
        <is>
          <t>F10</t>
        </is>
      </c>
      <c r="B37" s="29" t="inlineStr">
        <is>
          <t>datos_procesados/poblacion_desgloses.csv</t>
        </is>
      </c>
      <c r="C37" s="29" t="inlineStr">
        <is>
          <t>anio</t>
        </is>
      </c>
      <c r="D37" s="29" t="inlineStr">
        <is>
          <t>(año en cabecera)</t>
        </is>
      </c>
      <c r="E37" s="29" t="inlineStr">
        <is>
          <t>Año al que corresponde la cifra del desglose</t>
        </is>
      </c>
      <c r="F37" s="29" t="inlineStr">
        <is>
          <t>Entero</t>
        </is>
      </c>
      <c r="G37" s="29" t="inlineStr">
        <is>
          <t>año</t>
        </is>
      </c>
      <c r="H37" s="29" t="inlineStr">
        <is>
          <t>2025</t>
        </is>
      </c>
      <c r="I37" s="29" t="inlineStr">
        <is>
          <t>No</t>
        </is>
      </c>
      <c r="J37" s="29" t="inlineStr">
        <is>
          <t>2020 a 2025</t>
        </is>
      </c>
      <c r="K37" s="29" t="inlineStr">
        <is>
          <t>Pública</t>
        </is>
      </c>
      <c r="L37" s="29" t="inlineStr">
        <is>
          <t>Transformación ancho→largo: cada columna de año pasa a ser una fila</t>
        </is>
      </c>
      <c r="M37" s="29" t="inlineStr">
        <is>
          <t>¿Cómo se compone la población de cada parròquia (edad, sexo, nacionalidad, origen)?</t>
        </is>
      </c>
      <c r="N37" t="inlineStr">
        <is>
          <t>2026-10-26</t>
        </is>
      </c>
      <c r="O37" t="inlineStr">
        <is>
          <t>INCOMPLETA: falta texto literal de licencia de la fuente</t>
        </is>
      </c>
    </row>
    <row r="38" ht="14.25" customHeight="1" s="17">
      <c r="A38" s="29" t="inlineStr">
        <is>
          <t>F10</t>
        </is>
      </c>
      <c r="B38" s="29" t="inlineStr">
        <is>
          <t>datos_procesados/poblacion_desgloses.csv</t>
        </is>
      </c>
      <c r="C38" s="29" t="inlineStr">
        <is>
          <t>valor</t>
        </is>
      </c>
      <c r="D38" s="29" t="inlineStr">
        <is>
          <t>(valor de la celda de año)</t>
        </is>
      </c>
      <c r="E38" s="29" t="inlineStr">
        <is>
          <t>Número de personas del desglose en esa parròquia y año</t>
        </is>
      </c>
      <c r="F38" s="29" t="inlineStr">
        <is>
          <t>Entero</t>
        </is>
      </c>
      <c r="G38" s="29" t="inlineStr">
        <is>
          <t>personas</t>
        </is>
      </c>
      <c r="H38" s="29" t="inlineStr">
        <is>
          <t>150</t>
        </is>
      </c>
      <c r="I38" s="29" t="inlineStr">
        <is>
          <t>No</t>
        </is>
      </c>
      <c r="J38" s="29" t="inlineStr">
        <is>
          <t>≥ 0</t>
        </is>
      </c>
      <c r="K38" s="29" t="inlineStr">
        <is>
          <t>Pública</t>
        </is>
      </c>
      <c r="L38" s="29" t="inlineStr">
        <is>
          <t>Se valida que sea entero no negativo; se descartan celdas vacías o no numéricas</t>
        </is>
      </c>
      <c r="M38" s="29" t="inlineStr">
        <is>
          <t>¿Cómo se compone la población de cada parròquia (edad, sexo, nacionalidad, origen)?</t>
        </is>
      </c>
      <c r="N38" t="inlineStr">
        <is>
          <t>2026-10-26</t>
        </is>
      </c>
      <c r="O38" t="inlineStr">
        <is>
          <t>INCOMPLETA: falta texto literal de licencia de la fuente</t>
        </is>
      </c>
    </row>
    <row r="39" ht="14.25" customHeight="1" s="17">
      <c r="A39" s="29" t="inlineStr">
        <is>
          <t>F10</t>
        </is>
      </c>
      <c r="B39" s="29" t="inlineStr">
        <is>
          <t>datos_procesados/poblacion_desgloses.csv</t>
        </is>
      </c>
      <c r="C39" s="29" t="inlineStr">
        <is>
          <t>fuente</t>
        </is>
      </c>
      <c r="D39" s="29" t="inlineStr">
        <is>
          <t>(anotado)</t>
        </is>
      </c>
      <c r="E39" s="29" t="inlineStr">
        <is>
          <t>Origen oficial del desglose de población</t>
        </is>
      </c>
      <c r="F39" s="29" t="inlineStr">
        <is>
          <t>Texto</t>
        </is>
      </c>
      <c r="G39" s="29" t="inlineStr">
        <is>
          <t>texto</t>
        </is>
      </c>
      <c r="H39" s="29" t="inlineStr">
        <is>
          <t>Departament d'Estadística d'Andorra</t>
        </is>
      </c>
      <c r="I39" s="29" t="inlineStr">
        <is>
          <t>No</t>
        </is>
      </c>
      <c r="J39" s="29" t="inlineStr">
        <is>
          <t>Texto de la fuente</t>
        </is>
      </c>
      <c r="K39" s="29" t="inlineStr">
        <is>
          <t>Pública</t>
        </is>
      </c>
      <c r="L39" s="29" t="inlineStr">
        <is>
          <t>Se anota en el procesamiento (gobernanza)</t>
        </is>
      </c>
      <c r="M39" s="29" t="inlineStr">
        <is>
          <t>¿Cómo se compone la población de cada parròquia (edad, sexo, nacionalidad, origen)?</t>
        </is>
      </c>
      <c r="N39" t="inlineStr">
        <is>
          <t>2026-10-26</t>
        </is>
      </c>
      <c r="O39" t="inlineStr">
        <is>
          <t>INCOMPLETA: falta texto literal de licencia de la fuente</t>
        </is>
      </c>
    </row>
    <row r="40" ht="14.25" customHeight="1" s="17">
      <c r="A40" s="29" t="inlineStr">
        <is>
          <t>F10</t>
        </is>
      </c>
      <c r="B40" s="29" t="inlineStr">
        <is>
          <t>datos_procesados/poblacion_desgloses.csv</t>
        </is>
      </c>
      <c r="C40" s="29" t="inlineStr">
        <is>
          <t>vigencia</t>
        </is>
      </c>
      <c r="D40" s="29" t="inlineStr">
        <is>
          <t>(anotado)</t>
        </is>
      </c>
      <c r="E40" s="29" t="inlineStr">
        <is>
          <t>Año al que corresponde la cifra del desglose</t>
        </is>
      </c>
      <c r="F40" s="29" t="inlineStr">
        <is>
          <t>Texto</t>
        </is>
      </c>
      <c r="G40" s="29" t="inlineStr">
        <is>
          <t>año</t>
        </is>
      </c>
      <c r="H40" s="29" t="inlineStr">
        <is>
          <t>2025</t>
        </is>
      </c>
      <c r="I40" s="29" t="inlineStr">
        <is>
          <t>No</t>
        </is>
      </c>
      <c r="J40" s="29" t="inlineStr">
        <is>
          <t>2020 a 2025</t>
        </is>
      </c>
      <c r="K40" s="29" t="inlineStr">
        <is>
          <t>Pública</t>
        </is>
      </c>
      <c r="L40" s="29" t="inlineStr">
        <is>
          <t>Se anota como el año del propio registro</t>
        </is>
      </c>
      <c r="M40" s="29" t="inlineStr">
        <is>
          <t>¿Cómo se compone la población de cada parròquia (edad, sexo, nacionalidad, origen)?</t>
        </is>
      </c>
      <c r="N40" t="inlineStr">
        <is>
          <t>2026-10-26</t>
        </is>
      </c>
      <c r="O40" t="inlineStr">
        <is>
          <t>INCOMPLETA: falta texto literal de licencia de la fuente</t>
        </is>
      </c>
    </row>
    <row r="41" ht="14.25" customHeight="1" s="17">
      <c r="A41" s="29" t="inlineStr">
        <is>
          <t>F10</t>
        </is>
      </c>
      <c r="B41" s="29" t="inlineStr">
        <is>
          <t>datos_procesados/poblacion_desgloses.csv</t>
        </is>
      </c>
      <c r="C41" s="29" t="inlineStr">
        <is>
          <t>fecha_prueba</t>
        </is>
      </c>
      <c r="D41" s="29" t="inlineStr">
        <is>
          <t>(anotado)</t>
        </is>
      </c>
      <c r="E41" s="29" t="inlineStr">
        <is>
          <t>Fecha real en que se verificó/procesó el desglose</t>
        </is>
      </c>
      <c r="F41" s="29" t="inlineStr">
        <is>
          <t>Fecha</t>
        </is>
      </c>
      <c r="G41" s="29" t="inlineStr">
        <is>
          <t>AAAA-MM-DD</t>
        </is>
      </c>
      <c r="H41" s="29" t="inlineStr">
        <is>
          <t>2026-10-26</t>
        </is>
      </c>
      <c r="I41" s="29" t="inlineStr">
        <is>
          <t>No</t>
        </is>
      </c>
      <c r="J41" s="29" t="inlineStr">
        <is>
          <t>Fecha ISO</t>
        </is>
      </c>
      <c r="K41" s="29" t="inlineStr">
        <is>
          <t>Pública</t>
        </is>
      </c>
      <c r="L41" s="29" t="inlineStr">
        <is>
          <t>Se anota en el procesamiento con la fecha real de ejecución</t>
        </is>
      </c>
      <c r="M41" s="29" t="inlineStr">
        <is>
          <t>¿Cómo se compone la población de cada parròquia (edad, sexo, nacionalidad, origen)?</t>
        </is>
      </c>
      <c r="N41" t="inlineStr">
        <is>
          <t>2026-10-26</t>
        </is>
      </c>
      <c r="O41" t="inlineStr">
        <is>
          <t>INCOMPLETA: falta texto literal de licencia de la fuente</t>
        </is>
      </c>
    </row>
    <row r="42" ht="14.25" customHeight="1" s="17">
      <c r="A42" s="29" t="inlineStr">
        <is>
          <t>F10</t>
        </is>
      </c>
      <c r="B42" s="29" t="inlineStr">
        <is>
          <t>datos_procesados/poblacion_desgloses.csv</t>
        </is>
      </c>
      <c r="C42" s="29" t="inlineStr">
        <is>
          <t>linaje</t>
        </is>
      </c>
      <c r="D42" s="29" t="inlineStr">
        <is>
          <t>(anotado)</t>
        </is>
      </c>
      <c r="E42" s="29" t="inlineStr">
        <is>
          <t>Clasificación de gobernanza del desglose</t>
        </is>
      </c>
      <c r="F42" s="29" t="inlineStr">
        <is>
          <t>Texto</t>
        </is>
      </c>
      <c r="G42" s="29" t="inlineStr">
        <is>
          <t>etiqueta</t>
        </is>
      </c>
      <c r="H42" s="29" t="inlineStr">
        <is>
          <t>OBSERVADO</t>
        </is>
      </c>
      <c r="I42" s="29" t="inlineStr">
        <is>
          <t>No</t>
        </is>
      </c>
      <c r="J42" s="29" t="inlineStr">
        <is>
          <t>OBSERVADO / ESTIMADO / PROXY</t>
        </is>
      </c>
      <c r="K42" s="29" t="inlineStr">
        <is>
          <t>Pública</t>
        </is>
      </c>
      <c r="L42" s="29" t="inlineStr">
        <is>
          <t>Se etiqueta como OBSERVADO por ser dato oficial de censo</t>
        </is>
      </c>
      <c r="M42" s="29" t="inlineStr">
        <is>
          <t>¿Cómo se compone la población de cada parròquia (edad, sexo, nacionalidad, origen)?</t>
        </is>
      </c>
      <c r="N42" t="inlineStr">
        <is>
          <t>2026-10-26</t>
        </is>
      </c>
      <c r="O42" t="inlineStr">
        <is>
          <t>INCOMPLETA: falta texto literal de licencia de la fuente</t>
        </is>
      </c>
    </row>
    <row r="43" ht="14.25" customHeight="1" s="17">
      <c r="A43" s="29" t="inlineStr">
        <is>
          <t>F11</t>
        </is>
      </c>
      <c r="B43" s="29" t="inlineStr">
        <is>
          <t>datos_procesados/umbrales_pobreza.csv</t>
        </is>
      </c>
      <c r="C43" s="29" t="inlineStr">
        <is>
          <t>indicador</t>
        </is>
      </c>
      <c r="D43" s="29" t="inlineStr">
        <is>
          <t>(contenido real del crudo 820)</t>
        </is>
      </c>
      <c r="E43" s="29" t="inlineStr">
        <is>
          <t>Umbral de pobreza o ingresos (reclasificado del crudo mal etiquetado 820)</t>
        </is>
      </c>
      <c r="F43" s="29" t="inlineStr">
        <is>
          <t>Texto</t>
        </is>
      </c>
      <c r="G43" s="29" t="inlineStr">
        <is>
          <t>texto</t>
        </is>
      </c>
      <c r="H43" s="29" t="inlineStr">
        <is>
          <t>LLINDAR DE RISC DE POBRESA (60%)</t>
        </is>
      </c>
      <c r="I43" s="29" t="inlineStr">
        <is>
          <t>No</t>
        </is>
      </c>
      <c r="J43" s="29" t="inlineStr">
        <is>
          <t>Texto del umbral</t>
        </is>
      </c>
      <c r="K43" s="29" t="inlineStr">
        <is>
          <t>Pública</t>
        </is>
      </c>
      <c r="L43" s="29" t="inlineStr">
        <is>
          <t>Se reclasifica el crudo 'transacciones' según su contenido real (umbrales de pobreza/ingresos)</t>
        </is>
      </c>
      <c r="M43" s="29" t="inlineStr">
        <is>
          <t>¿Cuáles son los umbrales de pobreza e ingresos en Andorra?</t>
        </is>
      </c>
      <c r="N43" t="inlineStr">
        <is>
          <t>2026-10-26</t>
        </is>
      </c>
      <c r="O43" t="inlineStr">
        <is>
          <t>INCOMPLETA: falta texto literal de licencia de la fuente</t>
        </is>
      </c>
    </row>
    <row r="44" ht="14.25" customHeight="1" s="17">
      <c r="A44" s="29" t="inlineStr">
        <is>
          <t>F11</t>
        </is>
      </c>
      <c r="B44" s="29" t="inlineStr">
        <is>
          <t>datos_procesados/umbrales_pobreza.csv</t>
        </is>
      </c>
      <c r="C44" s="29" t="inlineStr">
        <is>
          <t>anio</t>
        </is>
      </c>
      <c r="D44" s="29" t="inlineStr">
        <is>
          <t>(año)</t>
        </is>
      </c>
      <c r="E44" s="29" t="inlineStr">
        <is>
          <t>Año al que corresponde el umbral</t>
        </is>
      </c>
      <c r="F44" s="29" t="inlineStr">
        <is>
          <t>Entero</t>
        </is>
      </c>
      <c r="G44" s="29" t="inlineStr">
        <is>
          <t>año</t>
        </is>
      </c>
      <c r="H44" s="29" t="inlineStr">
        <is>
          <t>2021</t>
        </is>
      </c>
      <c r="I44" s="29" t="inlineStr">
        <is>
          <t>No</t>
        </is>
      </c>
      <c r="J44" s="29" t="inlineStr">
        <is>
          <t>2020 a 2025</t>
        </is>
      </c>
      <c r="K44" s="29" t="inlineStr">
        <is>
          <t>Pública</t>
        </is>
      </c>
      <c r="L44" s="29" t="inlineStr">
        <is>
          <t>Se conservan solo los años dentro de 2020–2025</t>
        </is>
      </c>
      <c r="M44" s="29" t="inlineStr">
        <is>
          <t>¿Cuáles son los umbrales de pobreza e ingresos en Andorra?</t>
        </is>
      </c>
      <c r="N44" t="inlineStr">
        <is>
          <t>2026-10-26</t>
        </is>
      </c>
      <c r="O44" t="inlineStr">
        <is>
          <t>INCOMPLETA: falta texto literal de licencia de la fuente</t>
        </is>
      </c>
    </row>
    <row r="45">
      <c r="A45" t="inlineStr">
        <is>
          <t>F11</t>
        </is>
      </c>
      <c r="B45" t="inlineStr">
        <is>
          <t>datos_procesados/umbrales_pobreza.csv</t>
        </is>
      </c>
      <c r="C45" t="inlineStr">
        <is>
          <t>valor_eur</t>
        </is>
      </c>
      <c r="D45" t="inlineStr">
        <is>
          <t>(importe)</t>
        </is>
      </c>
      <c r="E45" t="inlineStr">
        <is>
          <t>Importe del umbral en euros</t>
        </is>
      </c>
      <c r="F45" t="inlineStr">
        <is>
          <t>Decimal</t>
        </is>
      </c>
      <c r="G45" t="inlineStr">
        <is>
          <t>€</t>
        </is>
      </c>
      <c r="H45" t="inlineStr">
        <is>
          <t>12153.39</t>
        </is>
      </c>
      <c r="I45" t="inlineStr">
        <is>
          <t>No</t>
        </is>
      </c>
      <c r="J45" t="inlineStr">
        <is>
          <t>≥ 0</t>
        </is>
      </c>
      <c r="K45" t="inlineStr">
        <is>
          <t>Pública</t>
        </is>
      </c>
      <c r="L45" t="inlineStr">
        <is>
          <t>Se convierte el separador decimal de coma catalana a punto</t>
        </is>
      </c>
      <c r="M45" t="inlineStr">
        <is>
          <t>¿Cuáles son los umbrales de pobreza e ingresos en Andorra?</t>
        </is>
      </c>
      <c r="N45" t="inlineStr">
        <is>
          <t>2026-10-26</t>
        </is>
      </c>
      <c r="O45" t="inlineStr">
        <is>
          <t>INCOMPLETA: falta texto literal de licencia de la fuente</t>
        </is>
      </c>
    </row>
    <row r="46">
      <c r="A46" t="inlineStr">
        <is>
          <t>F11</t>
        </is>
      </c>
      <c r="B46" t="inlineStr">
        <is>
          <t>datos_procesados/umbrales_pobreza.csv</t>
        </is>
      </c>
      <c r="C46" t="inlineStr">
        <is>
          <t>fuente</t>
        </is>
      </c>
      <c r="D46" t="inlineStr">
        <is>
          <t>(anotado)</t>
        </is>
      </c>
      <c r="E46" t="inlineStr">
        <is>
          <t>Origen oficial del umbral</t>
        </is>
      </c>
      <c r="F46" t="inlineStr">
        <is>
          <t>Texto</t>
        </is>
      </c>
      <c r="G46" t="inlineStr">
        <is>
          <t>texto</t>
        </is>
      </c>
      <c r="H46" t="inlineStr">
        <is>
          <t>Departament d'Estadística d'Andorra</t>
        </is>
      </c>
      <c r="I46" t="inlineStr">
        <is>
          <t>No</t>
        </is>
      </c>
      <c r="J46" t="inlineStr">
        <is>
          <t>Texto de la fuente</t>
        </is>
      </c>
      <c r="K46" t="inlineStr">
        <is>
          <t>Pública</t>
        </is>
      </c>
      <c r="L46" t="inlineStr">
        <is>
          <t>Se anota en el procesamiento (gobernanza)</t>
        </is>
      </c>
      <c r="M46" t="inlineStr">
        <is>
          <t>¿Cuáles son los umbrales de pobreza e ingresos en Andorra?</t>
        </is>
      </c>
      <c r="N46" t="inlineStr">
        <is>
          <t>2026-10-26</t>
        </is>
      </c>
      <c r="O46" t="inlineStr">
        <is>
          <t>INCOMPLETA: falta texto literal de licencia de la fuente</t>
        </is>
      </c>
    </row>
    <row r="47">
      <c r="A47" t="inlineStr">
        <is>
          <t>F11</t>
        </is>
      </c>
      <c r="B47" t="inlineStr">
        <is>
          <t>datos_procesados/umbrales_pobreza.csv</t>
        </is>
      </c>
      <c r="C47" t="inlineStr">
        <is>
          <t>vigencia</t>
        </is>
      </c>
      <c r="D47" t="inlineStr">
        <is>
          <t>(anotado)</t>
        </is>
      </c>
      <c r="E47" t="inlineStr">
        <is>
          <t>Año al que corresponde el umbral</t>
        </is>
      </c>
      <c r="F47" t="inlineStr">
        <is>
          <t>Texto</t>
        </is>
      </c>
      <c r="G47" t="inlineStr">
        <is>
          <t>año</t>
        </is>
      </c>
      <c r="H47" t="inlineStr">
        <is>
          <t>2021</t>
        </is>
      </c>
      <c r="I47" t="inlineStr">
        <is>
          <t>No</t>
        </is>
      </c>
      <c r="J47" t="inlineStr">
        <is>
          <t>2020 a 2025</t>
        </is>
      </c>
      <c r="K47" t="inlineStr">
        <is>
          <t>Pública</t>
        </is>
      </c>
      <c r="L47" t="inlineStr">
        <is>
          <t>Se anota como el año del propio registro</t>
        </is>
      </c>
      <c r="M47" t="inlineStr">
        <is>
          <t>¿Cuáles son los umbrales de pobreza e ingresos en Andorra?</t>
        </is>
      </c>
      <c r="N47" t="inlineStr">
        <is>
          <t>2026-10-26</t>
        </is>
      </c>
      <c r="O47" t="inlineStr">
        <is>
          <t>INCOMPLETA: falta texto literal de licencia de la fuente</t>
        </is>
      </c>
    </row>
    <row r="48">
      <c r="A48" t="inlineStr">
        <is>
          <t>F11</t>
        </is>
      </c>
      <c r="B48" t="inlineStr">
        <is>
          <t>datos_procesados/umbrales_pobreza.csv</t>
        </is>
      </c>
      <c r="C48" t="inlineStr">
        <is>
          <t>fecha_prueba</t>
        </is>
      </c>
      <c r="D48" t="inlineStr">
        <is>
          <t>(anotado)</t>
        </is>
      </c>
      <c r="E48" t="inlineStr">
        <is>
          <t>Fecha real en que se verificó/procesó el umbral</t>
        </is>
      </c>
      <c r="F48" t="inlineStr">
        <is>
          <t>Fecha</t>
        </is>
      </c>
      <c r="G48" t="inlineStr">
        <is>
          <t>AAAA-MM-DD</t>
        </is>
      </c>
      <c r="H48" t="inlineStr">
        <is>
          <t>2026-10-26</t>
        </is>
      </c>
      <c r="I48" t="inlineStr">
        <is>
          <t>No</t>
        </is>
      </c>
      <c r="J48" t="inlineStr">
        <is>
          <t>Fecha ISO</t>
        </is>
      </c>
      <c r="K48" t="inlineStr">
        <is>
          <t>Pública</t>
        </is>
      </c>
      <c r="L48" t="inlineStr">
        <is>
          <t>Se anota en el procesamiento con la fecha real de ejecución</t>
        </is>
      </c>
      <c r="M48" t="inlineStr">
        <is>
          <t>¿Cuáles son los umbrales de pobreza e ingresos en Andorra?</t>
        </is>
      </c>
      <c r="N48" t="inlineStr">
        <is>
          <t>2026-10-26</t>
        </is>
      </c>
      <c r="O48" t="inlineStr">
        <is>
          <t>INCOMPLETA: falta texto literal de licencia de la fuente</t>
        </is>
      </c>
    </row>
    <row r="49">
      <c r="A49" t="inlineStr">
        <is>
          <t>F11</t>
        </is>
      </c>
      <c r="B49" t="inlineStr">
        <is>
          <t>datos_procesados/umbrales_pobreza.csv</t>
        </is>
      </c>
      <c r="C49" t="inlineStr">
        <is>
          <t>linaje</t>
        </is>
      </c>
      <c r="D49" t="inlineStr">
        <is>
          <t>(anotado)</t>
        </is>
      </c>
      <c r="E49" t="inlineStr">
        <is>
          <t>Clasificación de gobernanza del umbral</t>
        </is>
      </c>
      <c r="F49" t="inlineStr">
        <is>
          <t>Texto</t>
        </is>
      </c>
      <c r="G49" t="inlineStr">
        <is>
          <t>etiqueta</t>
        </is>
      </c>
      <c r="H49" t="inlineStr">
        <is>
          <t>OBSERVADO</t>
        </is>
      </c>
      <c r="I49" t="inlineStr">
        <is>
          <t>No</t>
        </is>
      </c>
      <c r="J49" t="inlineStr">
        <is>
          <t>OBSERVADO / ESTIMADO / PROXY</t>
        </is>
      </c>
      <c r="K49" t="inlineStr">
        <is>
          <t>Pública</t>
        </is>
      </c>
      <c r="L49" t="inlineStr">
        <is>
          <t>Se etiqueta como OBSERVADO por ser dato oficial</t>
        </is>
      </c>
      <c r="M49" t="inlineStr">
        <is>
          <t>¿Cuáles son los umbrales de pobreza e ingresos en Andorra?</t>
        </is>
      </c>
      <c r="N49" t="inlineStr">
        <is>
          <t>2026-10-26</t>
        </is>
      </c>
      <c r="O49" t="inlineStr">
        <is>
          <t>INCOMPLETA: falta texto literal de licencia de la fuente</t>
        </is>
      </c>
    </row>
    <row r="50">
      <c r="A50" t="inlineStr">
        <is>
          <t>F12</t>
        </is>
      </c>
      <c r="B50" t="inlineStr">
        <is>
          <t>datos_procesados/tasa_fecundidad.csv</t>
        </is>
      </c>
      <c r="C50" t="inlineStr">
        <is>
          <t>indicador</t>
        </is>
      </c>
      <c r="D50" t="inlineStr">
        <is>
          <t>(contenido real del crudo 810)</t>
        </is>
      </c>
      <c r="E50" t="inlineStr">
        <is>
          <t>Indicador de fecundidad (reclasificado del crudo mal etiquetado 810)</t>
        </is>
      </c>
      <c r="F50" t="inlineStr">
        <is>
          <t>Texto</t>
        </is>
      </c>
      <c r="G50" t="inlineStr">
        <is>
          <t>texto</t>
        </is>
      </c>
      <c r="H50" t="inlineStr">
        <is>
          <t>Tasa de fecundidad</t>
        </is>
      </c>
      <c r="I50" t="inlineStr">
        <is>
          <t>No</t>
        </is>
      </c>
      <c r="J50" t="inlineStr">
        <is>
          <t>Tasa de fecundidad</t>
        </is>
      </c>
      <c r="K50" t="inlineStr">
        <is>
          <t>Pública</t>
        </is>
      </c>
      <c r="L50" t="inlineStr">
        <is>
          <t>Se reclasifica el crudo 'indicadores económicos' según su contenido real (tasa de fecundidad)</t>
        </is>
      </c>
      <c r="M50" t="inlineStr">
        <is>
          <t>¿Cómo evoluciona la tasa de fecundidad en Andorra?</t>
        </is>
      </c>
      <c r="N50" t="inlineStr">
        <is>
          <t>2026-10-26</t>
        </is>
      </c>
      <c r="O50" t="inlineStr">
        <is>
          <t>INCOMPLETA: falta texto literal de licencia de la fuente</t>
        </is>
      </c>
    </row>
    <row r="51">
      <c r="A51" t="inlineStr">
        <is>
          <t>F12</t>
        </is>
      </c>
      <c r="B51" t="inlineStr">
        <is>
          <t>datos_procesados/tasa_fecundidad.csv</t>
        </is>
      </c>
      <c r="C51" t="inlineStr">
        <is>
          <t>anio</t>
        </is>
      </c>
      <c r="D51" t="inlineStr">
        <is>
          <t>(año)</t>
        </is>
      </c>
      <c r="E51" t="inlineStr">
        <is>
          <t>Año al que corresponde la tasa</t>
        </is>
      </c>
      <c r="F51" t="inlineStr">
        <is>
          <t>Entero</t>
        </is>
      </c>
      <c r="G51" t="inlineStr">
        <is>
          <t>año</t>
        </is>
      </c>
      <c r="H51" t="inlineStr">
        <is>
          <t>2022</t>
        </is>
      </c>
      <c r="I51" t="inlineStr">
        <is>
          <t>No</t>
        </is>
      </c>
      <c r="J51" t="inlineStr">
        <is>
          <t>2020 a 2025</t>
        </is>
      </c>
      <c r="K51" t="inlineStr">
        <is>
          <t>Pública</t>
        </is>
      </c>
      <c r="L51" t="inlineStr">
        <is>
          <t>Se conservan solo los años dentro de 2020–2025</t>
        </is>
      </c>
      <c r="M51" t="inlineStr">
        <is>
          <t>¿Cómo evoluciona la tasa de fecundidad en Andorra?</t>
        </is>
      </c>
      <c r="N51" t="inlineStr">
        <is>
          <t>2026-10-26</t>
        </is>
      </c>
      <c r="O51" t="inlineStr">
        <is>
          <t>INCOMPLETA: falta texto literal de licencia de la fuente</t>
        </is>
      </c>
    </row>
    <row r="52">
      <c r="A52" t="inlineStr">
        <is>
          <t>F12</t>
        </is>
      </c>
      <c r="B52" t="inlineStr">
        <is>
          <t>datos_procesados/tasa_fecundidad.csv</t>
        </is>
      </c>
      <c r="C52" t="inlineStr">
        <is>
          <t>valor</t>
        </is>
      </c>
      <c r="D52" t="inlineStr">
        <is>
          <t>(valor)</t>
        </is>
      </c>
      <c r="E52" t="inlineStr">
        <is>
          <t>Valor de la tasa de fecundidad</t>
        </is>
      </c>
      <c r="F52" t="inlineStr">
        <is>
          <t>Decimal</t>
        </is>
      </c>
      <c r="G52" t="inlineStr">
        <is>
          <t>tasa</t>
        </is>
      </c>
      <c r="H52" t="inlineStr">
        <is>
          <t>26.47959</t>
        </is>
      </c>
      <c r="I52" t="inlineStr">
        <is>
          <t>No</t>
        </is>
      </c>
      <c r="J52" t="inlineStr">
        <is>
          <t>≥ 0</t>
        </is>
      </c>
      <c r="K52" t="inlineStr">
        <is>
          <t>Pública</t>
        </is>
      </c>
      <c r="L52" t="inlineStr">
        <is>
          <t>Se convierte el separador decimal de coma catalana a punto</t>
        </is>
      </c>
      <c r="M52" t="inlineStr">
        <is>
          <t>¿Cómo evoluciona la tasa de fecundidad en Andorra?</t>
        </is>
      </c>
      <c r="N52" t="inlineStr">
        <is>
          <t>2026-10-26</t>
        </is>
      </c>
      <c r="O52" t="inlineStr">
        <is>
          <t>INCOMPLETA: falta texto literal de licencia de la fuente</t>
        </is>
      </c>
    </row>
    <row r="53">
      <c r="A53" t="inlineStr">
        <is>
          <t>F12</t>
        </is>
      </c>
      <c r="B53" t="inlineStr">
        <is>
          <t>datos_procesados/tasa_fecundidad.csv</t>
        </is>
      </c>
      <c r="C53" t="inlineStr">
        <is>
          <t>fuente</t>
        </is>
      </c>
      <c r="D53" t="inlineStr">
        <is>
          <t>(anotado)</t>
        </is>
      </c>
      <c r="E53" t="inlineStr">
        <is>
          <t>Origen oficial de la tasa</t>
        </is>
      </c>
      <c r="F53" t="inlineStr">
        <is>
          <t>Texto</t>
        </is>
      </c>
      <c r="G53" t="inlineStr">
        <is>
          <t>texto</t>
        </is>
      </c>
      <c r="H53" t="inlineStr">
        <is>
          <t>Departament d'Estadística d'Andorra</t>
        </is>
      </c>
      <c r="I53" t="inlineStr">
        <is>
          <t>No</t>
        </is>
      </c>
      <c r="J53" t="inlineStr">
        <is>
          <t>Texto de la fuente</t>
        </is>
      </c>
      <c r="K53" t="inlineStr">
        <is>
          <t>Pública</t>
        </is>
      </c>
      <c r="L53" t="inlineStr">
        <is>
          <t>Se anota en el procesamiento (gobernanza)</t>
        </is>
      </c>
      <c r="M53" t="inlineStr">
        <is>
          <t>¿Cómo evoluciona la tasa de fecundidad en Andorra?</t>
        </is>
      </c>
      <c r="N53" t="inlineStr">
        <is>
          <t>2026-10-26</t>
        </is>
      </c>
      <c r="O53" t="inlineStr">
        <is>
          <t>INCOMPLETA: falta texto literal de licencia de la fuente</t>
        </is>
      </c>
    </row>
    <row r="54">
      <c r="A54" t="inlineStr">
        <is>
          <t>F12</t>
        </is>
      </c>
      <c r="B54" t="inlineStr">
        <is>
          <t>datos_procesados/tasa_fecundidad.csv</t>
        </is>
      </c>
      <c r="C54" t="inlineStr">
        <is>
          <t>vigencia</t>
        </is>
      </c>
      <c r="D54" t="inlineStr">
        <is>
          <t>(anotado)</t>
        </is>
      </c>
      <c r="E54" t="inlineStr">
        <is>
          <t>Año al que corresponde la tasa</t>
        </is>
      </c>
      <c r="F54" t="inlineStr">
        <is>
          <t>Texto</t>
        </is>
      </c>
      <c r="G54" t="inlineStr">
        <is>
          <t>año</t>
        </is>
      </c>
      <c r="H54" t="inlineStr">
        <is>
          <t>2022</t>
        </is>
      </c>
      <c r="I54" t="inlineStr">
        <is>
          <t>No</t>
        </is>
      </c>
      <c r="J54" t="inlineStr">
        <is>
          <t>2020 a 2025</t>
        </is>
      </c>
      <c r="K54" t="inlineStr">
        <is>
          <t>Pública</t>
        </is>
      </c>
      <c r="L54" t="inlineStr">
        <is>
          <t>Se anota como el año del propio registro</t>
        </is>
      </c>
      <c r="M54" t="inlineStr">
        <is>
          <t>¿Cómo evoluciona la tasa de fecundidad en Andorra?</t>
        </is>
      </c>
      <c r="N54" t="inlineStr">
        <is>
          <t>2026-10-26</t>
        </is>
      </c>
      <c r="O54" t="inlineStr">
        <is>
          <t>INCOMPLETA: falta texto literal de licencia de la fuente</t>
        </is>
      </c>
    </row>
    <row r="55">
      <c r="A55" t="inlineStr">
        <is>
          <t>F12</t>
        </is>
      </c>
      <c r="B55" t="inlineStr">
        <is>
          <t>datos_procesados/tasa_fecundidad.csv</t>
        </is>
      </c>
      <c r="C55" t="inlineStr">
        <is>
          <t>fecha_prueba</t>
        </is>
      </c>
      <c r="D55" t="inlineStr">
        <is>
          <t>(anotado)</t>
        </is>
      </c>
      <c r="E55" t="inlineStr">
        <is>
          <t>Fecha real en que se verificó/procesó la tasa</t>
        </is>
      </c>
      <c r="F55" t="inlineStr">
        <is>
          <t>Fecha</t>
        </is>
      </c>
      <c r="G55" t="inlineStr">
        <is>
          <t>AAAA-MM-DD</t>
        </is>
      </c>
      <c r="H55" t="inlineStr">
        <is>
          <t>2026-10-26</t>
        </is>
      </c>
      <c r="I55" t="inlineStr">
        <is>
          <t>No</t>
        </is>
      </c>
      <c r="J55" t="inlineStr">
        <is>
          <t>Fecha ISO</t>
        </is>
      </c>
      <c r="K55" t="inlineStr">
        <is>
          <t>Pública</t>
        </is>
      </c>
      <c r="L55" t="inlineStr">
        <is>
          <t>Se anota en el procesamiento con la fecha real de ejecución</t>
        </is>
      </c>
      <c r="M55" t="inlineStr">
        <is>
          <t>¿Cómo evoluciona la tasa de fecundidad en Andorra?</t>
        </is>
      </c>
      <c r="N55" t="inlineStr">
        <is>
          <t>2026-10-26</t>
        </is>
      </c>
      <c r="O55" t="inlineStr">
        <is>
          <t>INCOMPLETA: falta texto literal de licencia de la fuente</t>
        </is>
      </c>
    </row>
    <row r="56">
      <c r="A56" t="inlineStr">
        <is>
          <t>F12</t>
        </is>
      </c>
      <c r="B56" t="inlineStr">
        <is>
          <t>datos_procesados/tasa_fecundidad.csv</t>
        </is>
      </c>
      <c r="C56" t="inlineStr">
        <is>
          <t>linaje</t>
        </is>
      </c>
      <c r="D56" t="inlineStr">
        <is>
          <t>(anotado)</t>
        </is>
      </c>
      <c r="E56" t="inlineStr">
        <is>
          <t>Clasificación de gobernanza de la tasa</t>
        </is>
      </c>
      <c r="F56" t="inlineStr">
        <is>
          <t>Texto</t>
        </is>
      </c>
      <c r="G56" t="inlineStr">
        <is>
          <t>etiqueta</t>
        </is>
      </c>
      <c r="H56" t="inlineStr">
        <is>
          <t>OBSERVADO</t>
        </is>
      </c>
      <c r="I56" t="inlineStr">
        <is>
          <t>No</t>
        </is>
      </c>
      <c r="J56" t="inlineStr">
        <is>
          <t>OBSERVADO / ESTIMADO / PROXY</t>
        </is>
      </c>
      <c r="K56" t="inlineStr">
        <is>
          <t>Pública</t>
        </is>
      </c>
      <c r="L56" t="inlineStr">
        <is>
          <t>Se etiqueta como OBSERVADO por ser dato oficial</t>
        </is>
      </c>
      <c r="M56" t="inlineStr">
        <is>
          <t>¿Cómo evoluciona la tasa de fecundidad en Andorra?</t>
        </is>
      </c>
      <c r="N56" t="inlineStr">
        <is>
          <t>2026-10-26</t>
        </is>
      </c>
      <c r="O56" t="inlineStr">
        <is>
          <t>INCOMPLETA: falta texto literal de licencia de la fuente</t>
        </is>
      </c>
    </row>
    <row r="57">
      <c r="A57" t="inlineStr">
        <is>
          <t>F13</t>
        </is>
      </c>
      <c r="B57" t="inlineStr">
        <is>
          <t>datos_procesados/economia_worldbank.csv</t>
        </is>
      </c>
      <c r="C57" t="inlineStr">
        <is>
          <t>indicador</t>
        </is>
      </c>
      <c r="D57" t="inlineStr">
        <is>
          <t>indicator.value</t>
        </is>
      </c>
      <c r="E57" t="inlineStr">
        <is>
          <t>Nombre del indicador macroeconómico del Banco Mundial</t>
        </is>
      </c>
      <c r="F57" t="inlineStr">
        <is>
          <t>Texto</t>
        </is>
      </c>
      <c r="G57" t="inlineStr">
        <is>
          <t>texto</t>
        </is>
      </c>
      <c r="H57" t="inlineStr">
        <is>
          <t>PIB (US$ a precios actuales)</t>
        </is>
      </c>
      <c r="I57" t="inlineStr">
        <is>
          <t>No</t>
        </is>
      </c>
      <c r="J57" t="inlineStr">
        <is>
          <t>Texto del indicador</t>
        </is>
      </c>
      <c r="K57" t="inlineStr">
        <is>
          <t>Pública</t>
        </is>
      </c>
      <c r="L57" t="inlineStr">
        <is>
          <t>Se toma del catálogo de indicadores de la descarga World Bank</t>
        </is>
      </c>
      <c r="M57" t="inlineStr">
        <is>
          <t>¿Cómo evolucionan los indicadores macroeconómicos de Andorra (PIB, IPC)?</t>
        </is>
      </c>
      <c r="N57" t="inlineStr">
        <is>
          <t>INCOMPLETA: sin fecha real de prueba (fuente no descargada)</t>
        </is>
      </c>
      <c r="O57" t="inlineStr">
        <is>
          <t>CC BY 4.0</t>
        </is>
      </c>
    </row>
    <row r="58">
      <c r="A58" t="inlineStr">
        <is>
          <t>F13</t>
        </is>
      </c>
      <c r="B58" t="inlineStr">
        <is>
          <t>datos_procesados/economia_worldbank.csv</t>
        </is>
      </c>
      <c r="C58" t="inlineStr">
        <is>
          <t>codigo</t>
        </is>
      </c>
      <c r="D58" t="inlineStr">
        <is>
          <t>(código WB)</t>
        </is>
      </c>
      <c r="E58" t="inlineStr">
        <is>
          <t>Código del indicador en la API del Banco Mundial</t>
        </is>
      </c>
      <c r="F58" t="inlineStr">
        <is>
          <t>Texto</t>
        </is>
      </c>
      <c r="G58" t="inlineStr">
        <is>
          <t>código</t>
        </is>
      </c>
      <c r="H58" t="inlineStr">
        <is>
          <t>NY.GDP.MKTP.CD</t>
        </is>
      </c>
      <c r="I58" t="inlineStr">
        <is>
          <t>No</t>
        </is>
      </c>
      <c r="J58" t="inlineStr">
        <is>
          <t>Código WB</t>
        </is>
      </c>
      <c r="K58" t="inlineStr">
        <is>
          <t>Pública</t>
        </is>
      </c>
      <c r="L58" t="inlineStr">
        <is>
          <t>Se toma del nombre del JSON descargado</t>
        </is>
      </c>
      <c r="M58" t="inlineStr">
        <is>
          <t>¿Cómo evolucionan los indicadores macroeconómicos de Andorra (PIB, IPC)?</t>
        </is>
      </c>
      <c r="N58" t="inlineStr">
        <is>
          <t>INCOMPLETA: sin fecha real de prueba (fuente no descargada)</t>
        </is>
      </c>
      <c r="O58" t="inlineStr">
        <is>
          <t>CC BY 4.0</t>
        </is>
      </c>
    </row>
    <row r="59">
      <c r="A59" t="inlineStr">
        <is>
          <t>F13</t>
        </is>
      </c>
      <c r="B59" t="inlineStr">
        <is>
          <t>datos_procesados/economia_worldbank.csv</t>
        </is>
      </c>
      <c r="C59" t="inlineStr">
        <is>
          <t>anio</t>
        </is>
      </c>
      <c r="D59" t="inlineStr">
        <is>
          <t>date</t>
        </is>
      </c>
      <c r="E59" t="inlineStr">
        <is>
          <t>Año de la observación</t>
        </is>
      </c>
      <c r="F59" t="inlineStr">
        <is>
          <t>Entero</t>
        </is>
      </c>
      <c r="G59" t="inlineStr">
        <is>
          <t>año</t>
        </is>
      </c>
      <c r="H59" t="inlineStr">
        <is>
          <t>2024</t>
        </is>
      </c>
      <c r="I59" t="inlineStr">
        <is>
          <t>No</t>
        </is>
      </c>
      <c r="J59" t="inlineStr">
        <is>
          <t>Año</t>
        </is>
      </c>
      <c r="K59" t="inlineStr">
        <is>
          <t>Pública</t>
        </is>
      </c>
      <c r="L59" t="inlineStr">
        <is>
          <t>Se toma del campo 'date' de la observación</t>
        </is>
      </c>
      <c r="M59" t="inlineStr">
        <is>
          <t>¿Cómo evolucionan los indicadores macroeconómicos de Andorra (PIB, IPC)?</t>
        </is>
      </c>
      <c r="N59" t="inlineStr">
        <is>
          <t>INCOMPLETA: sin fecha real de prueba (fuente no descargada)</t>
        </is>
      </c>
      <c r="O59" t="inlineStr">
        <is>
          <t>CC BY 4.0</t>
        </is>
      </c>
    </row>
    <row r="60">
      <c r="A60" t="inlineStr">
        <is>
          <t>F13</t>
        </is>
      </c>
      <c r="B60" t="inlineStr">
        <is>
          <t>datos_procesados/economia_worldbank.csv</t>
        </is>
      </c>
      <c r="C60" t="inlineStr">
        <is>
          <t>valor</t>
        </is>
      </c>
      <c r="D60" t="inlineStr">
        <is>
          <t>value</t>
        </is>
      </c>
      <c r="E60" t="inlineStr">
        <is>
          <t>Valor del indicador en ese año</t>
        </is>
      </c>
      <c r="F60" t="inlineStr">
        <is>
          <t>Decimal</t>
        </is>
      </c>
      <c r="G60" t="inlineStr">
        <is>
          <t>según indicador</t>
        </is>
      </c>
      <c r="H60" t="inlineStr">
        <is>
          <t>4044000000.0</t>
        </is>
      </c>
      <c r="I60" t="inlineStr">
        <is>
          <t>Sí</t>
        </is>
      </c>
      <c r="J60" t="inlineStr">
        <is>
          <t>Depende del indicador</t>
        </is>
      </c>
      <c r="K60" t="inlineStr">
        <is>
          <t>Pública</t>
        </is>
      </c>
      <c r="L60" t="inlineStr">
        <is>
          <t>Se omiten las observaciones con valor nulo (no se inventan)</t>
        </is>
      </c>
      <c r="M60" t="inlineStr">
        <is>
          <t>¿Cómo evolucionan los indicadores macroeconómicos de Andorra (PIB, IPC)?</t>
        </is>
      </c>
      <c r="N60" t="inlineStr">
        <is>
          <t>INCOMPLETA: sin fecha real de prueba (fuente no descargada)</t>
        </is>
      </c>
      <c r="O60" t="inlineStr">
        <is>
          <t>CC BY 4.0</t>
        </is>
      </c>
    </row>
    <row r="61">
      <c r="A61" t="inlineStr">
        <is>
          <t>F13</t>
        </is>
      </c>
      <c r="B61" t="inlineStr">
        <is>
          <t>datos_procesados/economia_worldbank.csv</t>
        </is>
      </c>
      <c r="C61" t="inlineStr">
        <is>
          <t>unidad</t>
        </is>
      </c>
      <c r="D61" t="inlineStr">
        <is>
          <t>(catálogo WB)</t>
        </is>
      </c>
      <c r="E61" t="inlineStr">
        <is>
          <t>Unidad de medida del indicador</t>
        </is>
      </c>
      <c r="F61" t="inlineStr">
        <is>
          <t>Texto</t>
        </is>
      </c>
      <c r="G61" t="inlineStr">
        <is>
          <t>texto</t>
        </is>
      </c>
      <c r="H61" t="inlineStr">
        <is>
          <t>US$ a precios actuales</t>
        </is>
      </c>
      <c r="I61" t="inlineStr">
        <is>
          <t>No</t>
        </is>
      </c>
      <c r="J61" t="inlineStr">
        <is>
          <t>Texto de la unidad</t>
        </is>
      </c>
      <c r="K61" t="inlineStr">
        <is>
          <t>Pública</t>
        </is>
      </c>
      <c r="L61" t="inlineStr">
        <is>
          <t>Se toma del catálogo de indicadores de la descarga World Bank</t>
        </is>
      </c>
      <c r="M61" t="inlineStr">
        <is>
          <t>¿Cómo evolucionan los indicadores macroeconómicos de Andorra (PIB, IPC)?</t>
        </is>
      </c>
      <c r="N61" t="inlineStr">
        <is>
          <t>INCOMPLETA: sin fecha real de prueba (fuente no descargada)</t>
        </is>
      </c>
      <c r="O61" t="inlineStr">
        <is>
          <t>CC BY 4.0</t>
        </is>
      </c>
    </row>
    <row r="62">
      <c r="A62" t="inlineStr">
        <is>
          <t>F13</t>
        </is>
      </c>
      <c r="B62" t="inlineStr">
        <is>
          <t>datos_procesados/economia_worldbank.csv</t>
        </is>
      </c>
      <c r="C62" t="inlineStr">
        <is>
          <t>fuente</t>
        </is>
      </c>
      <c r="D62" t="inlineStr">
        <is>
          <t>(anotado)</t>
        </is>
      </c>
      <c r="E62" t="inlineStr">
        <is>
          <t>Origen del indicador económico</t>
        </is>
      </c>
      <c r="F62" t="inlineStr">
        <is>
          <t>Texto</t>
        </is>
      </c>
      <c r="G62" t="inlineStr">
        <is>
          <t>texto</t>
        </is>
      </c>
      <c r="H62" t="inlineStr">
        <is>
          <t>Banco Mundial (World Bank Open Data, API v2)</t>
        </is>
      </c>
      <c r="I62" t="inlineStr">
        <is>
          <t>No</t>
        </is>
      </c>
      <c r="J62" t="inlineStr">
        <is>
          <t>Texto de la fuente</t>
        </is>
      </c>
      <c r="K62" t="inlineStr">
        <is>
          <t>Pública</t>
        </is>
      </c>
      <c r="L62" t="inlineStr">
        <is>
          <t>Se anota en el procesamiento (gobernanza)</t>
        </is>
      </c>
      <c r="M62" t="inlineStr">
        <is>
          <t>¿Cómo evolucionan los indicadores macroeconómicos de Andorra (PIB, IPC)?</t>
        </is>
      </c>
      <c r="N62" t="inlineStr">
        <is>
          <t>INCOMPLETA: sin fecha real de prueba (fuente no descargada)</t>
        </is>
      </c>
      <c r="O62" t="inlineStr">
        <is>
          <t>CC BY 4.0</t>
        </is>
      </c>
    </row>
    <row r="63">
      <c r="A63" t="inlineStr">
        <is>
          <t>F13</t>
        </is>
      </c>
      <c r="B63" t="inlineStr">
        <is>
          <t>datos_procesados/economia_worldbank.csv</t>
        </is>
      </c>
      <c r="C63" t="inlineStr">
        <is>
          <t>vigencia</t>
        </is>
      </c>
      <c r="D63" t="inlineStr">
        <is>
          <t>(anotado)</t>
        </is>
      </c>
      <c r="E63" t="inlineStr">
        <is>
          <t>Año al que corresponde el indicador</t>
        </is>
      </c>
      <c r="F63" t="inlineStr">
        <is>
          <t>Texto</t>
        </is>
      </c>
      <c r="G63" t="inlineStr">
        <is>
          <t>año</t>
        </is>
      </c>
      <c r="H63" t="inlineStr">
        <is>
          <t>2024</t>
        </is>
      </c>
      <c r="I63" t="inlineStr">
        <is>
          <t>No</t>
        </is>
      </c>
      <c r="J63" t="inlineStr">
        <is>
          <t>Año</t>
        </is>
      </c>
      <c r="K63" t="inlineStr">
        <is>
          <t>Pública</t>
        </is>
      </c>
      <c r="L63" t="inlineStr">
        <is>
          <t>Se anota como el año del propio registro</t>
        </is>
      </c>
      <c r="M63" t="inlineStr">
        <is>
          <t>¿Cómo evolucionan los indicadores macroeconómicos de Andorra (PIB, IPC)?</t>
        </is>
      </c>
      <c r="N63" t="inlineStr">
        <is>
          <t>INCOMPLETA: sin fecha real de prueba (fuente no descargada)</t>
        </is>
      </c>
      <c r="O63" t="inlineStr">
        <is>
          <t>CC BY 4.0</t>
        </is>
      </c>
    </row>
    <row r="64">
      <c r="A64" t="inlineStr">
        <is>
          <t>F13</t>
        </is>
      </c>
      <c r="B64" t="inlineStr">
        <is>
          <t>datos_procesados/economia_worldbank.csv</t>
        </is>
      </c>
      <c r="C64" t="inlineStr">
        <is>
          <t>fecha_prueba</t>
        </is>
      </c>
      <c r="D64" t="inlineStr">
        <is>
          <t>(anotado)</t>
        </is>
      </c>
      <c r="E64" t="inlineStr">
        <is>
          <t>Fecha real en que se verificó/descargó el indicador</t>
        </is>
      </c>
      <c r="F64" t="inlineStr">
        <is>
          <t>Fecha</t>
        </is>
      </c>
      <c r="G64" t="inlineStr">
        <is>
          <t>AAAA-MM-DD</t>
        </is>
      </c>
      <c r="H64" t="inlineStr">
        <is>
          <t>(sin descarga)</t>
        </is>
      </c>
      <c r="I64" t="inlineStr">
        <is>
          <t>No</t>
        </is>
      </c>
      <c r="J64" t="inlineStr">
        <is>
          <t>Fecha ISO</t>
        </is>
      </c>
      <c r="K64" t="inlineStr">
        <is>
          <t>Pública</t>
        </is>
      </c>
      <c r="L64" t="inlineStr">
        <is>
          <t>Se anotaría en la descarga; el JSON de World Bank no se descargó en esta entrega</t>
        </is>
      </c>
      <c r="M64" t="inlineStr">
        <is>
          <t>¿Cómo evolucionan los indicadores macroeconómicos de Andorra (PIB, IPC)?</t>
        </is>
      </c>
      <c r="N64" t="inlineStr">
        <is>
          <t>INCOMPLETA: sin fecha real de prueba (fuente no descargada)</t>
        </is>
      </c>
      <c r="O64" t="inlineStr">
        <is>
          <t>CC BY 4.0</t>
        </is>
      </c>
    </row>
    <row r="65">
      <c r="A65" t="inlineStr">
        <is>
          <t>F13</t>
        </is>
      </c>
      <c r="B65" t="inlineStr">
        <is>
          <t>datos_procesados/economia_worldbank.csv</t>
        </is>
      </c>
      <c r="C65" t="inlineStr">
        <is>
          <t>linaje</t>
        </is>
      </c>
      <c r="D65" t="inlineStr">
        <is>
          <t>(anotado)</t>
        </is>
      </c>
      <c r="E65" t="inlineStr">
        <is>
          <t>Clasificación de gobernanza del indicador</t>
        </is>
      </c>
      <c r="F65" t="inlineStr">
        <is>
          <t>Texto</t>
        </is>
      </c>
      <c r="G65" t="inlineStr">
        <is>
          <t>etiqueta</t>
        </is>
      </c>
      <c r="H65" t="inlineStr">
        <is>
          <t>OBSERVADO</t>
        </is>
      </c>
      <c r="I65" t="inlineStr">
        <is>
          <t>No</t>
        </is>
      </c>
      <c r="J65" t="inlineStr">
        <is>
          <t>OBSERVADO / ESTIMADO / PROXY</t>
        </is>
      </c>
      <c r="K65" t="inlineStr">
        <is>
          <t>Pública</t>
        </is>
      </c>
      <c r="L65" t="inlineStr">
        <is>
          <t>Se etiqueta como OBSERVADO por ser dato oficial del Banco Mundial</t>
        </is>
      </c>
      <c r="M65" t="inlineStr">
        <is>
          <t>¿Cómo evolucionan los indicadores macroeconómicos de Andorra (PIB, IPC)?</t>
        </is>
      </c>
      <c r="N65" t="inlineStr">
        <is>
          <t>INCOMPLETA: sin fecha real de prueba (fuente no descargada)</t>
        </is>
      </c>
      <c r="O65" t="inlineStr">
        <is>
          <t>CC BY 4.0</t>
        </is>
      </c>
    </row>
  </sheetData>
  <dataValidations count="3">
    <dataValidation sqref="F5:F44" showDropDown="0" showInputMessage="0" showErrorMessage="0" allowBlank="1" error="Elijan una opción de la lista" type="list" errorStyle="stop" operator="between">
      <formula1>"Texto,Entero,Decimal,Fecha,Booleano,Código,Coordenada / geometría"</formula1>
      <formula2>0</formula2>
    </dataValidation>
    <dataValidation sqref="I5:I44" showDropDown="0" showInputMessage="0" showErrorMessage="0" allowBlank="1" error="Elijan una opción de la lista" type="list" errorStyle="stop" operator="between">
      <formula1>"Sí,No"</formula1>
      <formula2>0</formula2>
    </dataValidation>
    <dataValidation sqref="K5:K44" showDropDown="0" showInputMessage="0" showErrorMessage="0" allowBlank="1" error="Elijan una opción de la lista" type="list" errorStyle="stop" operator="between">
      <formula1>"Pública,Interna,Sensible,Dato personal"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77734375" defaultRowHeight="14.25" zeroHeight="0" outlineLevelRow="0"/>
  <cols>
    <col width="5" customWidth="1" style="16" min="1" max="1"/>
    <col width="16" customWidth="1" style="16" min="2" max="2"/>
    <col width="36" customWidth="1" style="16" min="3" max="4"/>
    <col width="30" customWidth="1" style="16" min="5" max="5"/>
    <col width="16" customWidth="1" style="16" min="6" max="6"/>
    <col width="12" customWidth="1" style="16" min="7" max="7"/>
    <col width="30" customWidth="1" style="16" min="8" max="8"/>
  </cols>
  <sheetData>
    <row r="1" ht="18" customHeight="1" s="17">
      <c r="A1" s="23" t="inlineStr">
        <is>
          <t>3. Bitácora de la búsqueda con IA</t>
        </is>
      </c>
    </row>
    <row r="2" ht="14.25" customHeight="1" s="17">
      <c r="A2" s="24" t="inlineStr">
        <is>
          <t>Qué le encargaron a la IA y qué pasó con lo que respondió. Incluyan los errores: valen tanto como los aciertos.</t>
        </is>
      </c>
    </row>
    <row r="3" ht="42" customHeight="1" s="17">
      <c r="A3" s="25" t="inlineStr">
        <is>
          <t>#</t>
        </is>
      </c>
      <c r="B3" s="25" t="inlineStr">
        <is>
          <t>Herramienta de IA</t>
        </is>
      </c>
      <c r="C3" s="25" t="inlineStr">
        <is>
          <t>Qué le encargaron</t>
        </is>
      </c>
      <c r="D3" s="25" t="inlineStr">
        <is>
          <t>Qué respondió (resumen)</t>
        </is>
      </c>
      <c r="E3" s="25" t="inlineStr">
        <is>
          <t>Cómo lo comprobaron</t>
        </is>
      </c>
      <c r="F3" s="25" t="inlineStr">
        <is>
          <t>Resultado</t>
        </is>
      </c>
      <c r="G3" s="25" t="inlineStr">
        <is>
          <t>ID fuente que salió de ahí</t>
        </is>
      </c>
      <c r="H3" s="25" t="inlineStr">
        <is>
          <t>Qué aprendieron</t>
        </is>
      </c>
    </row>
    <row r="4" ht="51.75" customHeight="1" s="17">
      <c r="A4" s="26" t="n"/>
      <c r="B4" s="26" t="n"/>
      <c r="C4" s="26" t="n"/>
      <c r="D4" s="26" t="n"/>
      <c r="E4" s="26" t="n"/>
      <c r="F4" s="26" t="n"/>
      <c r="G4" s="26" t="n"/>
      <c r="H4" s="26" t="n"/>
    </row>
    <row r="5" ht="133.5" customHeight="1" s="17">
      <c r="A5" s="29" t="n">
        <v>1</v>
      </c>
      <c r="B5" s="29" t="inlineStr">
        <is>
          <t>DeepSeek</t>
        </is>
      </c>
      <c r="C5" s="29" t="inlineStr">
        <is>
          <t>Buscar todos los datasets, bases de datos o APIs posibles de Andorra para una web con mapa (edificios, €/m², etc.)</t>
        </is>
      </c>
      <c r="D5" s="29" t="inlineStr">
        <is>
          <t>Dio una lista por categorías: IDE Andorra, Geoportal LiDAR 360º, edificios de OSM en HDX, Departament d'Estadística, Esri Demographics (de pago), catastro del Comú de Andorra la Vella y cuadro de mando de Salud. Dijo que el €/m² real no está en un CSV público y que hay que hacer scraping de portales</t>
        </is>
      </c>
      <c r="E5" s="29" t="inlineStr">
        <is>
          <t>Abriendo algunos de los links que nos sugiere la ia, despues revisando que informacion otorga y en algunos casos si es de facil acceso</t>
        </is>
      </c>
      <c r="F5" s="29" t="inlineStr">
        <is>
          <t>Parcial</t>
        </is>
      </c>
      <c r="G5" s="29" t="inlineStr">
        <is>
          <t>F16–F19, F22, F23</t>
        </is>
      </c>
      <c r="H5" s="29" t="inlineStr">
        <is>
          <t>Que la IA dé una lista larga no la hace útil: cada enlace hay que abrirlo y probarlo.</t>
        </is>
      </c>
    </row>
    <row r="6" ht="95.25" customHeight="1" s="17">
      <c r="A6" s="29" t="n">
        <v>2</v>
      </c>
      <c r="B6" s="29" t="inlineStr">
        <is>
          <t>DeepSeek</t>
        </is>
      </c>
      <c r="C6" s="29" t="inlineStr">
        <is>
          <t>Revisar el documento de fuentes, decir si los links sirven y quedarse con los mejores</t>
        </is>
      </c>
      <c r="D6" s="29" t="inlineStr">
        <is>
          <t>Dijo que había verificado los links y que casi todos eran correctos y activos (Estadística, Indomio, Geofabrik, IDE, FEDA, aqicn, AR+I). Añadió «Andorra en Xifres» y destacó AGIA</t>
        </is>
      </c>
      <c r="E6" s="29" t="inlineStr">
        <is>
          <t>Al abrir estadistica.ad, el contenido salía vacío. Con la pestaña Red vimos que los datos vienen de sig.govern.ad. El patrón exportar_banc_dades_csv.asp del documento no lo vimos en la captura y no está probado</t>
        </is>
      </c>
      <c r="F6" s="29" t="inlineStr">
        <is>
          <t>Parcial</t>
        </is>
      </c>
      <c r="G6" s="29" t="inlineStr">
        <is>
          <t>F01–F03, F24</t>
        </is>
      </c>
      <c r="H6" s="29" t="inlineStr">
        <is>
          <t>Que la IA diga «verificado» no prueba que la fuente abra o descargue. Hay que ver de dónde salen los datos de verdad.</t>
        </is>
      </c>
    </row>
    <row r="7" ht="133.5" customHeight="1" s="17">
      <c r="A7" s="29" t="n">
        <v>3</v>
      </c>
      <c r="B7" s="29" t="inlineStr">
        <is>
          <t>DeepSeek</t>
        </is>
      </c>
      <c r="C7" s="29" t="inlineStr">
        <is>
          <t>Explicar por qué el €/m² sale de portales y no de Airbnb, verificar cada categoría y buscar mejores links</t>
        </is>
      </c>
      <c r="D7" s="29" t="inlineStr">
        <is>
          <t>Explicó que Airbnb mide precio por noche (ADR), no €/m² de compra, y propuso usarlo solo como capa de rentabilidad. Dijo que Pisos.ad es mejor fuente que Indomio (informe PDF trimestral) y que los precios oficiales y los de portales difieren casi el doble. Respondió primero en chino aunque se escribió en español</t>
        </is>
      </c>
      <c r="E7" s="29" t="inlineStr">
        <is>
          <t>Al comparar las dos versiones de su respuesta, para Estadística dan 4.498 €/m² (2T-2025) en una y 4.415,9 €/m² (1T-2026) en la otra. No dio links a Pisos.ad ni a los PDFs y no los hemos abierto</t>
        </is>
      </c>
      <c r="F7" s="29" t="inlineStr">
        <is>
          <t>Parcial</t>
        </is>
      </c>
      <c r="G7" s="29" t="inlineStr">
        <is>
          <t>F15, F20, F21</t>
        </is>
      </c>
      <c r="H7" s="29" t="inlineStr">
        <is>
          <t>La explicación de Airbnb tiene sentido, pero las cifras cambian entre respuestas y sin link no se pueden comprobar. Hay que buscar el dato en la fuente.</t>
        </is>
      </c>
    </row>
    <row r="8" ht="57" customHeight="1" s="17">
      <c r="A8" s="29" t="n">
        <v>4</v>
      </c>
      <c r="B8" s="29" t="inlineStr">
        <is>
          <t>DeepSeek</t>
        </is>
      </c>
      <c r="C8" s="29" t="inlineStr">
        <is>
          <t>Generar un Word con toda la información</t>
        </is>
      </c>
      <c r="D8" s="29" t="inlineStr">
        <is>
          <t>Dijo que no puede crear archivos y entregó el texto formateado para pegar en Word</t>
        </is>
      </c>
      <c r="E8" s="29" t="inlineStr">
        <is>
          <t>Ese texto se pegó en Word como Datasets_Andorra_Proyecto; de él salieron varias fuentes del catálogo (población, precios, geometría y las descartadas).</t>
        </is>
      </c>
      <c r="F8" s="29" t="inlineStr">
        <is>
          <t>Correcto</t>
        </is>
      </c>
      <c r="G8" s="29" t="inlineStr">
        <is>
          <t>F01–F03 y fuentes descartadas (transacciones/económicos)</t>
        </is>
      </c>
      <c r="H8" s="29" t="inlineStr">
        <is>
          <t>La IA reconoció lo que no podía hacer en vez de fingir.</t>
        </is>
      </c>
    </row>
    <row r="9" ht="69.75" customHeight="1" s="17">
      <c r="A9" s="29" t="n">
        <v>5</v>
      </c>
      <c r="B9" s="29" t="inlineStr">
        <is>
          <t>Claude</t>
        </is>
      </c>
      <c r="C9" s="29" t="inlineStr">
        <is>
          <t>Abrir y leer el portal estadistica.ad/portal/apps/sites/#/estadistica-ca/ para ver qué datos ofrece</t>
        </is>
      </c>
      <c r="D9" s="29" t="inlineStr">
        <is>
          <t>No pudo leer el contenido: solo le llegó la configuración de una app de Esri que se dibuja con JavaScript, y avisó de que no podía navegarla</t>
        </is>
      </c>
      <c r="E9" s="29" t="inlineStr">
        <is>
          <t>Abrimos la misma página en el navegador y la sección «Estadístiques i dades» salía vacía</t>
        </is>
      </c>
      <c r="F9" s="29" t="inlineStr">
        <is>
          <t>Correcto</t>
        </is>
      </c>
      <c r="G9" s="29" t="inlineStr">
        <is>
          <t>F01</t>
        </is>
      </c>
      <c r="H9" s="29" t="inlineStr">
        <is>
          <t>Una IA no ve las páginas que se arman con JavaScript; hay que mirar la pestaña Red del navegador para ver de dónde salen los datos.</t>
        </is>
      </c>
    </row>
    <row r="10" ht="69.75" customHeight="1" s="17">
      <c r="A10" s="29" t="n">
        <v>6</v>
      </c>
      <c r="B10" s="29" t="inlineStr">
        <is>
          <t>Claude</t>
        </is>
      </c>
      <c r="C10" s="29" t="inlineStr">
        <is>
          <t>Encontrar una API para consultar los datos de estadistica.ad</t>
        </is>
      </c>
      <c r="D10" s="29" t="inlineStr">
        <is>
          <t>Sugirió probar https://www.estadistica.ad/portal/sharing/rest/search?q=*&amp;f=json (dijo que era una suposición suya, sin confirmar)</t>
        </is>
      </c>
      <c r="E10" s="29" t="inlineStr">
        <is>
          <t>La abrimos en el navegador: respondió total 0 y results vacío (captura de pantalla)</t>
        </is>
      </c>
      <c r="F10" s="29" t="inlineStr">
        <is>
          <t>Incorrecto</t>
        </is>
      </c>
      <c r="G10" s="29" t="inlineStr">
        <is>
          <t>F01</t>
        </is>
      </c>
      <c r="H10" s="29" t="inlineStr">
        <is>
          <t>La sugerencia de la IA no funcionó. Ese portal es solo una carcasa y no tiene los datos.</t>
        </is>
      </c>
    </row>
    <row r="11" ht="57" customHeight="1" s="17">
      <c r="A11" s="29" t="n">
        <v>7</v>
      </c>
      <c r="B11" s="29" t="inlineStr">
        <is>
          <t>Kiro / asistente IA</t>
        </is>
      </c>
      <c r="C11" s="29" t="inlineStr">
        <is>
          <t>Encontrar la fuente oficial de población y vivienda por parròquia de Andorra</t>
        </is>
      </c>
      <c r="D11" s="29" t="inlineStr">
        <is>
          <t>Señaló el Departament d'Estadística (banc de dades, sig.govern.ad) con CSV parametrizable por tema/fecha</t>
        </is>
      </c>
      <c r="E11" s="29" t="inlineStr">
        <is>
          <t>Se descargó el CSV de población por parròquia y se abrió: separador ';', años 2020-2025 y fila TOTAL</t>
        </is>
      </c>
      <c r="F11" s="29" t="inlineStr">
        <is>
          <t>Correcto</t>
        </is>
      </c>
      <c r="G11" s="29" t="inlineStr">
        <is>
          <t>F01</t>
        </is>
      </c>
      <c r="H11" s="29" t="inlineStr">
        <is>
          <t>La fuente oficial existe y da CSV; el formato es ancho y trae una fila TOTAL que hay que excluir.</t>
        </is>
      </c>
    </row>
    <row r="12" ht="57" customHeight="1" s="17">
      <c r="A12" s="29" t="n">
        <v>8</v>
      </c>
      <c r="B12" s="29" t="inlineStr">
        <is>
          <t>Kiro / asistente IA</t>
        </is>
      </c>
      <c r="C12" s="29" t="inlineStr">
        <is>
          <t>Conseguir precio de vivienda por zona/barrio en Andorra</t>
        </is>
      </c>
      <c r="D12" s="29" t="inlineStr">
        <is>
          <t>Propuso portales inmobiliarios (Indomio, Idealista, Fotocasa) y a AGIA como fuente sectorial</t>
        </is>
      </c>
      <c r="E12" s="29" t="inlineStr">
        <is>
          <t>Se abrió Indomio y se hizo scraping con requests+BeautifulSoup enviando User-Agent de navegador</t>
        </is>
      </c>
      <c r="F12" s="29" t="inlineStr">
        <is>
          <t>Parcial</t>
        </is>
      </c>
      <c r="G12" s="29" t="inlineStr">
        <is>
          <t>F02</t>
        </is>
      </c>
      <c r="H12" s="29" t="inlineStr">
        <is>
          <t>Indomio da desglose por parròquia (y barrios solo en Andorra la Vella) pero es dato de oferta (PROXY), no transacción.</t>
        </is>
      </c>
    </row>
    <row r="13" ht="57" customHeight="1" s="17">
      <c r="A13" s="29" t="n">
        <v>9</v>
      </c>
      <c r="B13" s="29" t="inlineStr">
        <is>
          <t>Kiro / asistente IA</t>
        </is>
      </c>
      <c r="C13" s="29" t="inlineStr">
        <is>
          <t>Obtener la geometría de edificios sin depender del catastro oficial</t>
        </is>
      </c>
      <c r="D13" s="29" t="inlineStr">
        <is>
          <t>Recomendó OpenStreetMap vía Overpass API (query por área) y Geofabrik como extracto</t>
        </is>
      </c>
      <c r="E13" s="29" t="inlineStr">
        <is>
          <t>Se lanzó la query Overpass; devolvió 406 hasta añadir un User-Agent de navegador, luego respondió</t>
        </is>
      </c>
      <c r="F13" s="29" t="inlineStr">
        <is>
          <t>Parcial</t>
        </is>
      </c>
      <c r="G13" s="29" t="inlineStr">
        <is>
          <t>F03</t>
        </is>
      </c>
      <c r="H13" s="29" t="inlineStr">
        <is>
          <t>Overpass funciona sin llave pero exige User-Agent; pocos edificios tienen altura (building:levels).</t>
        </is>
      </c>
    </row>
    <row r="14" ht="57" customHeight="1" s="17">
      <c r="A14" s="29" t="n">
        <v>10</v>
      </c>
      <c r="B14" s="29" t="inlineStr">
        <is>
          <t>Kiro / asistente IA</t>
        </is>
      </c>
      <c r="C14" s="29" t="inlineStr">
        <is>
          <t>Descargar transacciones inmobiliarias e indicadores económicos oficiales por API</t>
        </is>
      </c>
      <c r="D14" s="29" t="inlineStr">
        <is>
          <t>Indicó los idDivision 820 (transacciones) y 810 (económicos) del endpoint de datos de sig.govern.ad</t>
        </is>
      </c>
      <c r="E14" s="29" t="inlineStr">
        <is>
          <t>Se descargaron ambos CSV y se inspeccionó su contenido frente al nombre/tema esperado</t>
        </is>
      </c>
      <c r="F14" s="29" t="inlineStr">
        <is>
          <t>Incorrecto</t>
        </is>
      </c>
      <c r="G14" s="29" t="inlineStr">
        <is>
          <t>fuentes descartadas (transacciones/económicos oficiales)</t>
        </is>
      </c>
      <c r="H14" s="29" t="inlineStr">
        <is>
          <t>El contenido descargado no coincide con el nombre del archivo; ambos se descartaron del lago.</t>
        </is>
      </c>
    </row>
    <row r="15" ht="57" customHeight="1" s="17">
      <c r="A15" s="29" t="n">
        <v>11</v>
      </c>
      <c r="B15" s="29" t="inlineStr">
        <is>
          <t>Kiro / asistente IA</t>
        </is>
      </c>
      <c r="C15" s="29" t="inlineStr">
        <is>
          <t>Elegir motor de procesamiento del lago (pandas vs DuckDB) sobre los mismos crudos</t>
        </is>
      </c>
      <c r="D15" s="29" t="inlineStr">
        <is>
          <t>Comparó ambos: pandas más idiomático para melt() y limpieza de celdas; DuckDB mejor solo a gran volumen</t>
        </is>
      </c>
      <c r="E15" s="29" t="inlineStr">
        <is>
          <t>Se probaron los dos sobre el CSV de población y las celdas '7,115(+14.8%)' de Indomio</t>
        </is>
      </c>
      <c r="F15" s="29" t="inlineStr">
        <is>
          <t>Correcto</t>
        </is>
      </c>
      <c r="G15" s="29" t="inlineStr">
        <is>
          <t>F01</t>
        </is>
      </c>
      <c r="H15" s="29" t="inlineStr">
        <is>
          <t>Para decenas de filas gana pandas; DuckDB queda documentado como candidato si el lago crece.</t>
        </is>
      </c>
    </row>
    <row r="16" ht="57" customHeight="1" s="17">
      <c r="A16" s="29" t="n">
        <v>12</v>
      </c>
      <c r="B16" s="29" t="inlineStr">
        <is>
          <t>Kiro / asistente IA</t>
        </is>
      </c>
      <c r="C16" s="29" t="inlineStr">
        <is>
          <t>Elegir herramienta de vistas (Streamlit vs Dash) para el patrón cifra+metadato+linaje</t>
        </is>
      </c>
      <c r="D16" s="29" t="inlineStr">
        <is>
          <t>Comparó ambas: Streamlit resuelve st.metric/st.caption de forma trivial; Dash exige más composición</t>
        </is>
      </c>
      <c r="E16" s="29" t="inlineStr">
        <is>
          <t>Se prototiparon las 4 vistas sobre los mismos datos procesados</t>
        </is>
      </c>
      <c r="F16" s="29" t="inlineStr">
        <is>
          <t>Correcto</t>
        </is>
      </c>
      <c r="G16" s="29" t="inlineStr">
        <is>
          <t>F01</t>
        </is>
      </c>
      <c r="H16" s="29" t="inlineStr">
        <is>
          <t>Streamlit es más rápido para v1; Dash queda como candidato si se necesita interactividad avanzada.</t>
        </is>
      </c>
    </row>
    <row r="17" ht="14.25" customHeight="1" s="17">
      <c r="A17" s="29" t="n"/>
      <c r="B17" s="29" t="n"/>
      <c r="C17" s="29" t="n"/>
      <c r="D17" s="29" t="n"/>
      <c r="E17" s="29" t="n"/>
      <c r="F17" s="29" t="n"/>
      <c r="G17" s="29" t="n"/>
      <c r="H17" s="29" t="n"/>
    </row>
    <row r="18" ht="14.25" customHeight="1" s="17">
      <c r="A18" s="29" t="n"/>
      <c r="B18" s="29" t="n"/>
      <c r="C18" s="29" t="n"/>
      <c r="D18" s="29" t="n"/>
      <c r="E18" s="29" t="n"/>
      <c r="F18" s="29" t="n"/>
      <c r="G18" s="29" t="n"/>
      <c r="H18" s="29" t="n"/>
    </row>
    <row r="19" ht="14.25" customHeight="1" s="17">
      <c r="A19" s="29" t="n"/>
      <c r="B19" s="29" t="n"/>
      <c r="C19" s="29" t="n"/>
      <c r="D19" s="29" t="n"/>
      <c r="E19" s="29" t="n"/>
      <c r="F19" s="29" t="n"/>
      <c r="G19" s="29" t="n"/>
      <c r="H19" s="29" t="n"/>
    </row>
    <row r="20" ht="14.25" customHeight="1" s="17">
      <c r="A20" s="29" t="n"/>
      <c r="B20" s="29" t="n"/>
      <c r="C20" s="29" t="n"/>
      <c r="D20" s="29" t="n"/>
      <c r="E20" s="29" t="n"/>
      <c r="F20" s="29" t="n"/>
      <c r="G20" s="29" t="n"/>
      <c r="H20" s="29" t="n"/>
    </row>
    <row r="21" ht="14.25" customHeight="1" s="17">
      <c r="A21" s="29" t="n"/>
      <c r="B21" s="29" t="n"/>
      <c r="C21" s="29" t="n"/>
      <c r="D21" s="29" t="n"/>
      <c r="E21" s="29" t="n"/>
      <c r="F21" s="29" t="n"/>
      <c r="G21" s="29" t="n"/>
      <c r="H21" s="29" t="n"/>
    </row>
    <row r="22" ht="14.25" customHeight="1" s="17">
      <c r="A22" s="29" t="n"/>
      <c r="B22" s="29" t="n"/>
      <c r="C22" s="29" t="n"/>
      <c r="D22" s="29" t="n"/>
      <c r="E22" s="29" t="n"/>
      <c r="F22" s="29" t="n"/>
      <c r="G22" s="29" t="n"/>
      <c r="H22" s="29" t="n"/>
    </row>
    <row r="23" ht="14.25" customHeight="1" s="17">
      <c r="A23" s="29" t="n"/>
      <c r="B23" s="29" t="n"/>
      <c r="C23" s="29" t="n"/>
      <c r="D23" s="29" t="n"/>
      <c r="E23" s="29" t="n"/>
      <c r="F23" s="29" t="n"/>
      <c r="G23" s="29" t="n"/>
      <c r="H23" s="29" t="n"/>
    </row>
    <row r="24" ht="14.25" customHeight="1" s="17">
      <c r="A24" s="29" t="n"/>
      <c r="B24" s="29" t="n"/>
      <c r="C24" s="29" t="n"/>
      <c r="D24" s="29" t="n"/>
      <c r="E24" s="29" t="n"/>
      <c r="F24" s="29" t="n"/>
      <c r="G24" s="29" t="n"/>
      <c r="H24" s="29" t="n"/>
    </row>
    <row r="25" ht="14.25" customHeight="1" s="17">
      <c r="A25" s="29" t="n"/>
      <c r="B25" s="29" t="n"/>
      <c r="C25" s="29" t="n"/>
      <c r="D25" s="29" t="n"/>
      <c r="E25" s="29" t="n"/>
      <c r="F25" s="29" t="n"/>
      <c r="G25" s="29" t="n"/>
      <c r="H25" s="29" t="n"/>
    </row>
    <row r="26" ht="14.25" customHeight="1" s="17">
      <c r="A26" s="29" t="n"/>
      <c r="B26" s="29" t="n"/>
      <c r="C26" s="29" t="n"/>
      <c r="D26" s="29" t="n"/>
      <c r="E26" s="29" t="n"/>
      <c r="F26" s="29" t="n"/>
      <c r="G26" s="29" t="n"/>
      <c r="H26" s="29" t="n"/>
    </row>
    <row r="27" ht="14.25" customHeight="1" s="17">
      <c r="A27" s="29" t="n"/>
      <c r="B27" s="29" t="n"/>
      <c r="C27" s="29" t="n"/>
      <c r="D27" s="29" t="n"/>
      <c r="E27" s="29" t="n"/>
      <c r="F27" s="29" t="n"/>
      <c r="G27" s="29" t="n"/>
      <c r="H27" s="29" t="n"/>
    </row>
    <row r="28" ht="14.25" customHeight="1" s="17">
      <c r="A28" s="29" t="n"/>
      <c r="B28" s="29" t="n"/>
      <c r="C28" s="29" t="n"/>
      <c r="D28" s="29" t="n"/>
      <c r="E28" s="29" t="n"/>
      <c r="F28" s="29" t="n"/>
      <c r="G28" s="29" t="n"/>
      <c r="H28" s="29" t="n"/>
    </row>
    <row r="29" ht="14.25" customHeight="1" s="17">
      <c r="A29" s="29" t="n"/>
      <c r="B29" s="29" t="n"/>
      <c r="C29" s="29" t="n"/>
      <c r="D29" s="29" t="n"/>
      <c r="E29" s="29" t="n"/>
      <c r="F29" s="29" t="n"/>
      <c r="G29" s="29" t="n"/>
      <c r="H29" s="29" t="n"/>
    </row>
    <row r="30" ht="14.25" customHeight="1" s="17">
      <c r="A30" s="29" t="n"/>
      <c r="B30" s="29" t="n"/>
      <c r="C30" s="29" t="n"/>
      <c r="D30" s="29" t="n"/>
      <c r="E30" s="29" t="n"/>
      <c r="F30" s="29" t="n"/>
      <c r="G30" s="29" t="n"/>
      <c r="H30" s="29" t="n"/>
    </row>
    <row r="31" ht="14.25" customHeight="1" s="17">
      <c r="A31" s="29" t="n"/>
      <c r="B31" s="29" t="n"/>
      <c r="C31" s="29" t="n"/>
      <c r="D31" s="29" t="n"/>
      <c r="E31" s="29" t="n"/>
      <c r="F31" s="29" t="n"/>
      <c r="G31" s="29" t="n"/>
      <c r="H31" s="29" t="n"/>
    </row>
    <row r="32" ht="14.25" customHeight="1" s="17">
      <c r="A32" s="29" t="n"/>
      <c r="B32" s="29" t="n"/>
      <c r="C32" s="29" t="n"/>
      <c r="D32" s="29" t="n"/>
      <c r="E32" s="29" t="n"/>
      <c r="F32" s="29" t="n"/>
      <c r="G32" s="29" t="n"/>
      <c r="H32" s="29" t="n"/>
    </row>
    <row r="33" ht="14.25" customHeight="1" s="17">
      <c r="A33" s="29" t="n"/>
      <c r="B33" s="29" t="n"/>
      <c r="C33" s="29" t="n"/>
      <c r="D33" s="29" t="n"/>
      <c r="E33" s="29" t="n"/>
      <c r="F33" s="29" t="n"/>
      <c r="G33" s="29" t="n"/>
      <c r="H33" s="29" t="n"/>
    </row>
    <row r="34" ht="14.25" customHeight="1" s="17">
      <c r="A34" s="29" t="n"/>
      <c r="B34" s="29" t="n"/>
      <c r="C34" s="29" t="n"/>
      <c r="D34" s="29" t="n"/>
      <c r="E34" s="29" t="n"/>
      <c r="F34" s="29" t="n"/>
      <c r="G34" s="29" t="n"/>
      <c r="H34" s="29" t="n"/>
    </row>
    <row r="35" ht="14.25" customHeight="1" s="17">
      <c r="A35" s="29" t="n"/>
      <c r="B35" s="29" t="n"/>
      <c r="C35" s="29" t="n"/>
      <c r="D35" s="29" t="n"/>
      <c r="E35" s="29" t="n"/>
      <c r="F35" s="29" t="n"/>
      <c r="G35" s="29" t="n"/>
      <c r="H35" s="29" t="n"/>
    </row>
    <row r="36" ht="14.25" customHeight="1" s="17">
      <c r="A36" s="29" t="n"/>
      <c r="B36" s="29" t="n"/>
      <c r="C36" s="29" t="n"/>
      <c r="D36" s="29" t="n"/>
      <c r="E36" s="29" t="n"/>
      <c r="F36" s="29" t="n"/>
      <c r="G36" s="29" t="n"/>
      <c r="H36" s="29" t="n"/>
    </row>
    <row r="37" ht="14.25" customHeight="1" s="17">
      <c r="A37" s="29" t="n"/>
      <c r="B37" s="29" t="n"/>
      <c r="C37" s="29" t="n"/>
      <c r="D37" s="29" t="n"/>
      <c r="E37" s="29" t="n"/>
      <c r="F37" s="29" t="n"/>
      <c r="G37" s="29" t="n"/>
      <c r="H37" s="29" t="n"/>
    </row>
    <row r="38" ht="14.25" customHeight="1" s="17">
      <c r="A38" s="29" t="n"/>
      <c r="B38" s="29" t="n"/>
      <c r="C38" s="29" t="n"/>
      <c r="D38" s="29" t="n"/>
      <c r="E38" s="29" t="n"/>
      <c r="F38" s="29" t="n"/>
      <c r="G38" s="29" t="n"/>
      <c r="H38" s="29" t="n"/>
    </row>
    <row r="39" ht="14.25" customHeight="1" s="17">
      <c r="A39" s="29" t="n"/>
      <c r="B39" s="29" t="n"/>
      <c r="C39" s="29" t="n"/>
      <c r="D39" s="29" t="n"/>
      <c r="E39" s="29" t="n"/>
      <c r="F39" s="29" t="n"/>
      <c r="G39" s="29" t="n"/>
      <c r="H39" s="29" t="n"/>
    </row>
    <row r="40" ht="14.25" customHeight="1" s="17">
      <c r="A40" s="29" t="n"/>
      <c r="B40" s="29" t="n"/>
      <c r="C40" s="29" t="n"/>
      <c r="D40" s="29" t="n"/>
      <c r="E40" s="29" t="n"/>
      <c r="F40" s="29" t="n"/>
      <c r="G40" s="29" t="n"/>
      <c r="H40" s="29" t="n"/>
    </row>
    <row r="41" ht="14.25" customHeight="1" s="17">
      <c r="A41" s="29" t="n"/>
      <c r="B41" s="29" t="n"/>
      <c r="C41" s="29" t="n"/>
      <c r="D41" s="29" t="n"/>
      <c r="E41" s="29" t="n"/>
      <c r="F41" s="29" t="n"/>
      <c r="G41" s="29" t="n"/>
      <c r="H41" s="29" t="n"/>
    </row>
    <row r="42" ht="14.25" customHeight="1" s="17">
      <c r="A42" s="29" t="n"/>
      <c r="B42" s="29" t="n"/>
      <c r="C42" s="29" t="n"/>
      <c r="D42" s="29" t="n"/>
      <c r="E42" s="29" t="n"/>
      <c r="F42" s="29" t="n"/>
      <c r="G42" s="29" t="n"/>
      <c r="H42" s="29" t="n"/>
    </row>
    <row r="43" ht="14.25" customHeight="1" s="17">
      <c r="A43" s="29" t="n"/>
      <c r="B43" s="29" t="n"/>
      <c r="C43" s="29" t="n"/>
      <c r="D43" s="29" t="n"/>
      <c r="E43" s="29" t="n"/>
      <c r="F43" s="29" t="n"/>
      <c r="G43" s="29" t="n"/>
      <c r="H43" s="29" t="n"/>
    </row>
    <row r="44" ht="14.25" customHeight="1" s="17">
      <c r="A44" s="29" t="n"/>
      <c r="B44" s="29" t="n"/>
      <c r="C44" s="29" t="n"/>
      <c r="D44" s="29" t="n"/>
      <c r="E44" s="29" t="n"/>
      <c r="F44" s="29" t="n"/>
      <c r="G44" s="29" t="n"/>
      <c r="H44" s="29" t="n"/>
    </row>
  </sheetData>
  <dataValidations count="1">
    <dataValidation sqref="F5:F44" showDropDown="0" showInputMessage="0" showErrorMessage="0" allowBlank="1" error="Elijan una opción de la lista" type="list" errorStyle="stop" operator="between">
      <formula1>"Correcto,Parcial,Incorrecto,Inventado"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7734375" defaultRowHeight="14.25" zeroHeight="0" outlineLevelRow="0"/>
  <cols>
    <col width="48" customWidth="1" style="16" min="1" max="1"/>
    <col width="14" customWidth="1" style="16" min="2" max="2"/>
  </cols>
  <sheetData>
    <row r="1" ht="18" customHeight="1" s="17">
      <c r="A1" s="23" t="inlineStr">
        <is>
          <t>Resumen del lago</t>
        </is>
      </c>
    </row>
    <row r="2" ht="14.25" customHeight="1" s="17">
      <c r="A2" s="24" t="inlineStr">
        <is>
          <t>Se calcula solo desde las otras hojas; no cuenta las filas de ejemplo (fila 4).</t>
        </is>
      </c>
    </row>
    <row r="4" ht="14.25" customHeight="1" s="17">
      <c r="A4" s="31" t="inlineStr">
        <is>
          <t>Fuentes registradas</t>
        </is>
      </c>
      <c r="B4" s="32">
        <f>COUNTA('1. Fuentes'!A5:A44)</f>
        <v/>
      </c>
    </row>
    <row r="5" ht="14.25" customHeight="1" s="17">
      <c r="A5" s="33" t="inlineStr">
        <is>
          <t xml:space="preserve">  · integradas al lago</t>
        </is>
      </c>
      <c r="B5" s="32">
        <f>COUNTIF('1. Fuentes'!N5:N44,"Integrada al lago")</f>
        <v/>
      </c>
    </row>
    <row r="6" ht="14.25" customHeight="1" s="17">
      <c r="A6" s="33" t="inlineStr">
        <is>
          <t xml:space="preserve">  · candidatas</t>
        </is>
      </c>
      <c r="B6" s="32">
        <f>COUNTIF('1. Fuentes'!N5:N44,"Candidata")</f>
        <v/>
      </c>
    </row>
    <row r="7" ht="14.25" customHeight="1" s="17">
      <c r="A7" s="33" t="inlineStr">
        <is>
          <t xml:space="preserve">  · que no responden</t>
        </is>
      </c>
      <c r="B7" s="32">
        <f>COUNTIF('1. Fuentes'!N5:N44,"No responde")</f>
        <v/>
      </c>
    </row>
    <row r="8" ht="14.25" customHeight="1" s="17">
      <c r="A8" s="33" t="inlineStr">
        <is>
          <t xml:space="preserve">  · que no existen (inventadas por la IA)</t>
        </is>
      </c>
      <c r="B8" s="32">
        <f>COUNTIF('1. Fuentes'!N5:N44,"No existe (la inventó la IA)")</f>
        <v/>
      </c>
    </row>
    <row r="9" ht="14.25" customHeight="1" s="17">
      <c r="A9" s="33" t="inlineStr">
        <is>
          <t xml:space="preserve">  · descartadas</t>
        </is>
      </c>
      <c r="B9" s="32">
        <f>COUNTIF('1. Fuentes'!N5:N44,"Descartada")</f>
        <v/>
      </c>
    </row>
    <row r="10" ht="14.25" customHeight="1" s="17">
      <c r="A10" s="31" t="inlineStr">
        <is>
          <t>Fuentes con licencia «no declara» o vacía</t>
        </is>
      </c>
      <c r="B10" s="32">
        <f>COUNTIF('1. Fuentes'!H5:H44,"no declara")+COUNTIFS('1. Fuentes'!A5:A44,"&lt;&gt;",'1. Fuentes'!H5:H44,"")</f>
        <v/>
      </c>
    </row>
    <row r="11" ht="14.25" customHeight="1" s="17">
      <c r="A11" s="31" t="inlineStr">
        <is>
          <t>Fuentes con personas identificables o texto libre</t>
        </is>
      </c>
      <c r="B11" s="32">
        <f>COUNTIF('1. Fuentes'!I5:I44,"Personas identificables")+COUNTIF('1. Fuentes'!I5:I44,"Texto libre sin revisar")</f>
        <v/>
      </c>
    </row>
    <row r="12" ht="14.25" customHeight="1" s="17">
      <c r="A12" s="31" t="inlineStr">
        <is>
          <t>Campos en el diccionario</t>
        </is>
      </c>
      <c r="B12" s="32">
        <f>COUNTA('2. Diccionario'!C5:C44)</f>
        <v/>
      </c>
    </row>
    <row r="13" ht="14.25" customHeight="1" s="17">
      <c r="A13" s="33" t="inlineStr">
        <is>
          <t xml:space="preserve">  · clasificados como sensibles o dato personal</t>
        </is>
      </c>
      <c r="B13" s="32">
        <f>COUNTIF('2. Diccionario'!K5:K44,"Sensible")+COUNTIF('2. Diccionario'!K5:K44,"Dato personal")</f>
        <v/>
      </c>
    </row>
    <row r="14" ht="14.25" customHeight="1" s="17">
      <c r="A14" s="33" t="inlineStr">
        <is>
          <t xml:space="preserve">  · sin pregunta del sistema asociada</t>
        </is>
      </c>
      <c r="B14" s="32">
        <f>COUNTIFS('2. Diccionario'!C5:C44,"&lt;&gt;",'2. Diccionario'!M5:M44,"")</f>
        <v/>
      </c>
    </row>
    <row r="15" ht="14.25" customHeight="1" s="17">
      <c r="A15" s="31" t="inlineStr">
        <is>
          <t>Encargos a la IA registrados</t>
        </is>
      </c>
      <c r="B15" s="32">
        <f>COUNTA('3. Bitácora IA'!C5:C44)</f>
        <v/>
      </c>
    </row>
    <row r="16" ht="14.25" customHeight="1" s="17">
      <c r="A16" s="33" t="inlineStr">
        <is>
          <t xml:space="preserve">  · con respuesta incorrecta o inventada</t>
        </is>
      </c>
      <c r="B16" s="32">
        <f>COUNTIF('3. Bitácora IA'!F5:F44,"Incorrecto")+COUNTIF('3. Bitácora IA'!F5:F44,"Inventado")</f>
        <v/>
      </c>
    </row>
    <row r="17" ht="14.25" customHeight="1" s="17">
      <c r="A17" s="31" t="inlineStr">
        <is>
          <t>Porcentaje de aciertos plenos de la IA</t>
        </is>
      </c>
      <c r="B17" s="34">
        <f>IF(B15=0,"-",COUNTIF('3. Bitácora IA'!F5:F44,"Correcto")/B15)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2026-09-28T11:22:59Z</dcterms:created>
  <dcterms:modified xsi:type="dcterms:W3CDTF">2026-10-27T04:17:48Z</dcterms:modified>
  <cp:lastModifiedBy>Samuel Herrera Galvis</cp:lastModifiedBy>
  <cp:revision>0</cp:revision>
</cp:coreProperties>
</file>