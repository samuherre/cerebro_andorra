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1. Fuentes" sheetId="2" state="visible" r:id="rId4"/>
    <sheet name="2. Diccionario" sheetId="3" state="visible" r:id="rId5"/>
    <sheet name="3. Bitácora IA" sheetId="4" state="visible" r:id="rId6"/>
    <sheet name="Resume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<sst xmlns="http://schemas.openxmlformats.org/spreadsheetml/2006/main" count="881" uniqueCount="494">
  <si>
    <t xml:space="preserve">Taller de datos · Entrega 1 · El lago y su diccionario</t>
  </si>
  <si>
    <t xml:space="preserve">Tópicos de Sistemas de Información · Profesor Santiago Jiménez Londoño · topicos-si.vercel.app/Tallerdatos</t>
  </si>
  <si>
    <t xml:space="preserve">Datos del grupo</t>
  </si>
  <si>
    <t xml:space="preserve">Ciudad elegida: Andorra</t>
  </si>
  <si>
    <t xml:space="preserve">Integrantes: Daniel Zapata, Samuel Herrera, Tomás Londoño</t>
  </si>
  <si>
    <t xml:space="preserve">Enlace al repositorio o a la carpeta del lago:</t>
  </si>
  <si>
    <t xml:space="preserve">Qué entregan en este archivo</t>
  </si>
  <si>
    <t xml:space="preserve">1. Fuentes · una fila por cada fuente que encontraron en el rastreo, entre o no al lago. Las descartadas también cuentan: explican las decisiones.</t>
  </si>
  <si>
    <t xml:space="preserve">2. Diccionario · una fila por cada campo (columna o clave del JSON) que quedó en el lago. Si un campo no está aquí, no existe.</t>
  </si>
  <si>
    <t xml:space="preserve">3. Bitácora IA · qué le encargaron a la IA durante la búsqueda, qué respondió y cómo lo comprobaron.</t>
  </si>
  <si>
    <t xml:space="preserve">Resumen · se llena solo con fórmulas. No lo editen.</t>
  </si>
  <si>
    <t xml:space="preserve">Cómo llenarlo</t>
  </si>
  <si>
    <t xml:space="preserve">• Escriban solo en las celdas amarillas. La fila gris de cada hoja es un ejemplo (Medellín): pueden borrarla o dejarla, el resumen no la cuenta.</t>
  </si>
  <si>
    <t xml:space="preserve">• El ID de fuente (F01, F02…) une las tres hojas: úsenlo igual en Fuentes, Diccionario y Bitácora IA.</t>
  </si>
  <si>
    <t xml:space="preserve">• Las columnas con lista desplegable solo aceptan esas opciones.</t>
  </si>
  <si>
    <t xml:space="preserve">• La licencia se copia tal como aparece en la fuente. Si la fuente no dice nada, escriban «no declara»: no la supongan.</t>
  </si>
  <si>
    <t xml:space="preserve">• «Fecha en que la probaron» es el día en que la descarga o la API respondió de verdad, no el día en que la IA la mencionó.</t>
  </si>
  <si>
    <t xml:space="preserve">• Una fuente que la IA nombró y que ustedes no pudieron abrir va igual en Fuentes, con estado «No responde» o «No existe».</t>
  </si>
  <si>
    <t xml:space="preserve">1. Catálogo de fuentes</t>
  </si>
  <si>
    <t xml:space="preserve">Una fila por fuente encontrada. Escriban en las celdas amarillas; la fila gris es un ejemplo.</t>
  </si>
  <si>
    <t xml:space="preserve">ID fuente</t>
  </si>
  <si>
    <t xml:space="preserve">Nombre del conjunto de datos</t>
  </si>
  <si>
    <t xml:space="preserve">Entidad que lo publica</t>
  </si>
  <si>
    <t xml:space="preserve">Tipo de publicador</t>
  </si>
  <si>
    <t xml:space="preserve">URL exacta (descarga o API)</t>
  </si>
  <si>
    <t xml:space="preserve">Formato</t>
  </si>
  <si>
    <t xml:space="preserve">Cómo se obtiene</t>
  </si>
  <si>
    <t xml:space="preserve">Licencia (tal como aparece)</t>
  </si>
  <si>
    <t xml:space="preserve">¿Trae datos de personas?</t>
  </si>
  <si>
    <t xml:space="preserve">Cobertura geográfica</t>
  </si>
  <si>
    <t xml:space="preserve">Periodo que cubre</t>
  </si>
  <si>
    <t xml:space="preserve">Frecuencia de actualización</t>
  </si>
  <si>
    <t xml:space="preserve">Fecha en que la probaron (AAAA-MM-DD)</t>
  </si>
  <si>
    <t xml:space="preserve">Estado</t>
  </si>
  <si>
    <t xml:space="preserve">Cómo la encontraron (IA o búsqueda)</t>
  </si>
  <si>
    <t xml:space="preserve">Observaciones</t>
  </si>
  <si>
    <t xml:space="preserve">F01</t>
  </si>
  <si>
    <t xml:space="preserve">Població per parròquia (banc de dades d'Estadística)</t>
  </si>
  <si>
    <t xml:space="preserve">Departament d'Estadística d'Andorra</t>
  </si>
  <si>
    <t xml:space="preserve">Entidad pública</t>
  </si>
  <si>
    <t xml:space="preserve">https://sig.govern.ad/Sigdde.Public/Inici</t>
  </si>
  <si>
    <t xml:space="preserve">CSV</t>
  </si>
  <si>
    <t xml:space="preserve">Descarga directa</t>
  </si>
  <si>
    <t xml:space="preserve">no declara</t>
  </si>
  <si>
    <t xml:space="preserve">No</t>
  </si>
  <si>
    <t xml:space="preserve">Nacional (7 parròquies)</t>
  </si>
  <si>
    <t xml:space="preserve">2020 a 2025</t>
  </si>
  <si>
    <t xml:space="preserve">Anual</t>
  </si>
  <si>
    <t xml:space="preserve">2026-09-27</t>
  </si>
  <si>
    <t xml:space="preserve">Integrada al lago</t>
  </si>
  <si>
    <t xml:space="preserve">Búsqueda propia + confirmación con IA de la fuente oficial. IA Claude: se la pedimos como información general.</t>
  </si>
  <si>
    <t xml:space="preserve">Formato ancho (un año por columna); incluye fila TOTAL que se excluye. Linaje OBSERVADO. El nivel más pequeño es la «població» (pueblo), no el barrio.</t>
  </si>
  <si>
    <t xml:space="preserve">F02</t>
  </si>
  <si>
    <t xml:space="preserve">Precios de vivienda €/m² por parròquia (Indomio)</t>
  </si>
  <si>
    <t xml:space="preserve">Indomio.es</t>
  </si>
  <si>
    <t xml:space="preserve">Empresa privada</t>
  </si>
  <si>
    <t xml:space="preserve">https://www.indomio.es/en/mercado-inmobiliario/andorra/andorra-provincia/</t>
  </si>
  <si>
    <t xml:space="preserve">Página web</t>
  </si>
  <si>
    <t xml:space="preserve">Bloquea scripts o pide sesión</t>
  </si>
  <si>
    <t xml:space="preserve">Nacional (7 parròquies) + barrios de Andorra la Vella</t>
  </si>
  <si>
    <t xml:space="preserve">Captura de agosto-septiembre 2026</t>
  </si>
  <si>
    <t xml:space="preserve">Mensual</t>
  </si>
  <si>
    <t xml:space="preserve">Sugerida por la IA como portal con desglose por zona; confirmada abriendo el sitio. IA Claude: se la pedimos como información general.</t>
  </si>
  <si>
    <t xml:space="preserve">Datos de oferta (anuncios), no de transacción real. Linaje PROXY. Bloqueo anti-bot documentado. Sin API ni histórico: hay que guardar una captura cada mes. Solo Andorra la Vella baja a barrio.</t>
  </si>
  <si>
    <t xml:space="preserve">F03</t>
  </si>
  <si>
    <t xml:space="preserve">Edificios de Andorra (geometría OSM)</t>
  </si>
  <si>
    <t xml:space="preserve">OpenStreetMap / Overpass API (también extracto de Geofabrik)</t>
  </si>
  <si>
    <t xml:space="preserve">Plataforma colaborativa</t>
  </si>
  <si>
    <t xml:space="preserve">https://overpass-api.de/api/interpreter
https://download.geofabrik.de/europe/andorra.html</t>
  </si>
  <si>
    <t xml:space="preserve">GeoJSON</t>
  </si>
  <si>
    <t xml:space="preserve">API sin llave</t>
  </si>
  <si>
    <t xml:space="preserve">ODbL</t>
  </si>
  <si>
    <t xml:space="preserve">Andorra la Vella (área de prueba); el extracto de Geofabrik cubre todo el país</t>
  </si>
  <si>
    <t xml:space="preserve">Extracción puntual 2026-09</t>
  </si>
  <si>
    <t xml:space="preserve">No se sabe</t>
  </si>
  <si>
    <t xml:space="preserve">Candidata</t>
  </si>
  <si>
    <t xml:space="preserve">Query Overpass propia; primer intento dio 406 hasta añadir User-Agent. IA Claude: se la pedimos como información general (extracto de Geofabrik: edificios, calles y puntos de interés).</t>
  </si>
  <si>
    <t xml:space="preserve">Vista geoespacial fuera de alcance v1. Pocos edificios con building:levels (número de pisos); ese campo queda vacío en muchos.</t>
  </si>
  <si>
    <t xml:space="preserve">F04</t>
  </si>
  <si>
    <t xml:space="preserve">Transacciones inmobiliarias e hipotecas (oficiales, idDivision 820)</t>
  </si>
  <si>
    <t xml:space="preserve">https://sig.govern.ad/Sigdde.Public/estadistiquesdades/api/data</t>
  </si>
  <si>
    <t xml:space="preserve">Nacional y parroquias</t>
  </si>
  <si>
    <t xml:space="preserve">2020 a 2025 (solicitado)</t>
  </si>
  <si>
    <t xml:space="preserve">Trimestral</t>
  </si>
  <si>
    <t xml:space="preserve">Descartada</t>
  </si>
  <si>
    <t xml:space="preserve">Descarga automatizada desde la API oficial. IA Claude: se la pedimos como información general.</t>
  </si>
  <si>
    <t xml:space="preserve">El contenido descargado no coincide con el nombre/tema del archivo; excluida del lago. Es el único dato de operaciones reales en vivienda.</t>
  </si>
  <si>
    <t xml:space="preserve">F05</t>
  </si>
  <si>
    <t xml:space="preserve">Indicadores económicos oficiales (idDivision 810)</t>
  </si>
  <si>
    <t xml:space="preserve">Nacional</t>
  </si>
  <si>
    <t xml:space="preserve">Descarga automatizada desde la API oficial</t>
  </si>
  <si>
    <t xml:space="preserve">El contenido descargado no coincide con el nombre/tema del archivo; excluida del lago.</t>
  </si>
  <si>
    <t xml:space="preserve">F06</t>
  </si>
  <si>
    <t xml:space="preserve">AGIA — informe semestral de precios inmobiliarios</t>
  </si>
  <si>
    <t xml:space="preserve">Col·legi d'Agents i Gestors Immobiliaris d'Andorra</t>
  </si>
  <si>
    <t xml:space="preserve">Academia u ONG</t>
  </si>
  <si>
    <t xml:space="preserve">https://www.agia.ad/
https://digitalandorra.com/economia/el-preu-de-lhabitatge-continua-disparat-a-andorra-mentre-loferta-de-lloguer-gairebe-es-duplica/</t>
  </si>
  <si>
    <t xml:space="preserve">PDF</t>
  </si>
  <si>
    <t xml:space="preserve">Solo PDF o página</t>
  </si>
  <si>
    <t xml:space="preserve">Nacional (por parròquia)</t>
  </si>
  <si>
    <t xml:space="preserve">Informe semestral</t>
  </si>
  <si>
    <t xml:space="preserve">Semestral</t>
  </si>
  <si>
    <t xml:space="preserve">Citada por la IA como la fuente sectorial más fiable para calibrar Indomio. IA Claude: se la pedimos como información general.</t>
  </si>
  <si>
    <t xml:space="preserve">Precio de operaciones reales (linaje ESTIMADO). Útil para calibrar el PROXY de Indomio.</t>
  </si>
  <si>
    <t xml:space="preserve">F07</t>
  </si>
  <si>
    <t xml:space="preserve">Movimiento turístico en frontera</t>
  </si>
  <si>
    <t xml:space="preserve">Departament d'Estadística</t>
  </si>
  <si>
    <t xml:space="preserve">País</t>
  </si>
  <si>
    <t xml:space="preserve">IA Claude: se la pedimos como información general</t>
  </si>
  <si>
    <t xml:space="preserve">Separa turistas de excursionistas; hay dato mensual y diario.</t>
  </si>
  <si>
    <t xml:space="preserve">F08</t>
  </si>
  <si>
    <t xml:space="preserve">Calidad del aire</t>
  </si>
  <si>
    <t xml:space="preserve">aqicn.org (WAQI)</t>
  </si>
  <si>
    <t xml:space="preserve">Estaciones de Andorra</t>
  </si>
  <si>
    <t xml:space="preserve">Diaria</t>
  </si>
  <si>
    <t xml:space="preserve">Pide token gratuito. Refleja pocas estaciones del país.</t>
  </si>
  <si>
    <t xml:space="preserve">F09</t>
  </si>
  <si>
    <t xml:space="preserve">Consumo y producción de energía del día anterior</t>
  </si>
  <si>
    <t xml:space="preserve">FEDA</t>
  </si>
  <si>
    <t xml:space="preserve">Sin API pública; el consumo del día anterior se lee del HTML.</t>
  </si>
  <si>
    <t xml:space="preserve">F10</t>
  </si>
  <si>
    <t xml:space="preserve">Mapa base, catastro y topografía</t>
  </si>
  <si>
    <t xml:space="preserve">IDE Andorra (Cartografia.ad)</t>
  </si>
  <si>
    <t xml:space="preserve">F11</t>
  </si>
  <si>
    <t xml:space="preserve">Precio por zona en Andorra la Vella</t>
  </si>
  <si>
    <t xml:space="preserve">Idealista / Fotocasa</t>
  </si>
  <si>
    <t xml:space="preserve">Andorra la Vella</t>
  </si>
  <si>
    <t xml:space="preserve">F12</t>
  </si>
  <si>
    <t xml:space="preserve">Mapa de tráfico en tiempo real (Mobilitat.ad)</t>
  </si>
  <si>
    <t xml:space="preserve">Departament de Mobilitat (Govern d'Andorra)</t>
  </si>
  <si>
    <t xml:space="preserve">https://www.mobilitat.ad/</t>
  </si>
  <si>
    <t xml:space="preserve">País (por parroquias)</t>
  </si>
  <si>
    <t xml:space="preserve">Actual</t>
  </si>
  <si>
    <t xml:space="preserve">Tiempo real</t>
  </si>
  <si>
    <t xml:space="preserve">IA Claude: se la pedimos como información general. IA (DeepSeek): lista que armó el chat, pegada en el Word Datasets_Andorra_Proyecto</t>
  </si>
  <si>
    <t xml:space="preserve">Sin API pública; la app usa un backend cerrado.</t>
  </si>
  <si>
    <t xml:space="preserve">F13</t>
  </si>
  <si>
    <t xml:space="preserve">Precios de viviendas por código postal (RealAdvisor)</t>
  </si>
  <si>
    <t xml:space="preserve">RealAdvisor</t>
  </si>
  <si>
    <t xml:space="preserve">https://realadvisor.es/es/precios-viviendas/44500-andorra</t>
  </si>
  <si>
    <t xml:space="preserve">Solo Andorra la Vella (CP 44500 «prestado»)</t>
  </si>
  <si>
    <t xml:space="preserve">Últimos 5 años</t>
  </si>
  <si>
    <t xml:space="preserve">IA (DeepSeek): lista que armó el chat, pegada en el Word Datasets_Andorra_Proyecto</t>
  </si>
  <si>
    <t xml:space="preserve">No baja a barrio; solo serviría para validar el precio de ciudad.</t>
  </si>
  <si>
    <t xml:space="preserve">F14</t>
  </si>
  <si>
    <t xml:space="preserve">Encuestas a visitantes (Observatori del Comerç i Turisme)</t>
  </si>
  <si>
    <t xml:space="preserve">Cambra de Comerç, Indústria i Serveis (CCIS)</t>
  </si>
  <si>
    <t xml:space="preserve">https://www.ccis.ad/</t>
  </si>
  <si>
    <t xml:space="preserve">Por temporada</t>
  </si>
  <si>
    <t xml:space="preserve">Solo PDF/infografías, sin datos crudos; F07 cubre el turismo con CSV.</t>
  </si>
  <si>
    <t xml:space="preserve">F15</t>
  </si>
  <si>
    <t xml:space="preserve">Informes trimestrales de mercado inmobiliario (Pisos.ad)</t>
  </si>
  <si>
    <t xml:space="preserve">Pisos.ad</t>
  </si>
  <si>
    <t xml:space="preserve">7 parroquias</t>
  </si>
  <si>
    <t xml:space="preserve">Trimestral (ej. 1T-2026)</t>
  </si>
  <si>
    <t xml:space="preserve">IA (DeepSeek): la nombró en el chat, no estaba en el Word</t>
  </si>
  <si>
    <t xml:space="preserve">La IA no dio el link: hay que buscar la página de informes. Cifra que dio, sin comprobar: 7.839,97 €/m² nacional en 1T-2026. Es precio de OFERTA (PROXY); alternativa a F02.</t>
  </si>
  <si>
    <t xml:space="preserve">F16</t>
  </si>
  <si>
    <t xml:space="preserve">Visor de descargas de geodatos (IDE Andorra)</t>
  </si>
  <si>
    <t xml:space="preserve">IDE Andorra (Govern d'Andorra)</t>
  </si>
  <si>
    <t xml:space="preserve">https://www.ideandorra.ad/geodades</t>
  </si>
  <si>
    <t xml:space="preserve">Shapefile</t>
  </si>
  <si>
    <t xml:space="preserve">Sin probar. Según la IA baja capas como límites de parroquias, red viaria, edificios e hidrografía.</t>
  </si>
  <si>
    <t xml:space="preserve">F17</t>
  </si>
  <si>
    <t xml:space="preserve">Geoportal LiDAR 360º (terreno y edificios en 3D)</t>
  </si>
  <si>
    <t xml:space="preserve">Govern d'Andorra</t>
  </si>
  <si>
    <t xml:space="preserve">https://geolidar360.govern.ad/geoportal/#/home</t>
  </si>
  <si>
    <t xml:space="preserve">Otro</t>
  </si>
  <si>
    <t xml:space="preserve">Sin probar. Visor 3D; confirmar si permite descargar datos.</t>
  </si>
  <si>
    <t xml:space="preserve">F18</t>
  </si>
  <si>
    <t xml:space="preserve">Huellas de edificios de Andorra (OSM en HDX)</t>
  </si>
  <si>
    <t xml:space="preserve">Humanitarian Data Exchange (HDX)</t>
  </si>
  <si>
    <t xml:space="preserve">La IA no dio el link: buscar en data.humdata.org. Mismos datos que F03 (OSM).</t>
  </si>
  <si>
    <t xml:space="preserve">F19</t>
  </si>
  <si>
    <t xml:space="preserve">Catastro de Andorra la Vella (SIT del Comú)</t>
  </si>
  <si>
    <t xml:space="preserve">Comú d'Andorra la Vella</t>
  </si>
  <si>
    <t xml:space="preserve">sit.andorralavella.ad/cadastre</t>
  </si>
  <si>
    <t xml:space="preserve">Sin probar. Visor por parcela (superficie total, construida y usos). Revisar si muestra datos de propietarios antes de guardar algo.</t>
  </si>
  <si>
    <t xml:space="preserve">F20</t>
  </si>
  <si>
    <t xml:space="preserve">Métricas de alquiler de corta duración (Airbnb vía BNBCalc / AirDNA)</t>
  </si>
  <si>
    <t xml:space="preserve">BNBCalc / AirDNA (terceros que agregan datos de Airbnb)</t>
  </si>
  <si>
    <t xml:space="preserve">País y algunas parroquias</t>
  </si>
  <si>
    <t xml:space="preserve">2026</t>
  </si>
  <si>
    <t xml:space="preserve">Mide precio por noche (la IA dio ADR €249 y ocupación 28%), no €/m² de compra. La IA no dio links. Solo serviría como capa de rentabilidad.</t>
  </si>
  <si>
    <t xml:space="preserve">F21</t>
  </si>
  <si>
    <t xml:space="preserve">Precio de la vivienda pública asequible (€/m²/mes por parroquia)</t>
  </si>
  <si>
    <t xml:space="preserve">La IA no dio link. Cifra que dio, sin comprobar: base 9,47 €/m²/mes. Serviría como referencia de asequibilidad.</t>
  </si>
  <si>
    <t xml:space="preserve">F22</t>
  </si>
  <si>
    <t xml:space="preserve">Demografía por parroquia y código postal (Esri Demographics)</t>
  </si>
  <si>
    <t xml:space="preserve">Esri (Michael Bauer Research)</t>
  </si>
  <si>
    <t xml:space="preserve">Solo conteos por zona</t>
  </si>
  <si>
    <t xml:space="preserve">País, parroquias y códigos postales</t>
  </si>
  <si>
    <t xml:space="preserve">Proyecciones</t>
  </si>
  <si>
    <t xml:space="preserve">Dataset de pago según la IA; sin link.</t>
  </si>
  <si>
    <t xml:space="preserve">F23</t>
  </si>
  <si>
    <t xml:space="preserve">Cuadro de mando de indicadores de salud pública</t>
  </si>
  <si>
    <t xml:space="preserve">Ministeri de Salut (Govern d'Andorra)</t>
  </si>
  <si>
    <t xml:space="preserve">67 indicadores según la IA, sin link. Fuera del alcance del mapa por ahora.</t>
  </si>
  <si>
    <t xml:space="preserve">F24</t>
  </si>
  <si>
    <t xml:space="preserve">Andorra en Xifres (resumen anual de indicadores)</t>
  </si>
  <si>
    <t xml:space="preserve">CCIS + Departament d'Estadística + Actua</t>
  </si>
  <si>
    <t xml:space="preserve">https://www.ccis.ad/en/andorra-en-xifres/</t>
  </si>
  <si>
    <t xml:space="preserve">Anual (edición 2024 según la IA)</t>
  </si>
  <si>
    <t xml:space="preserve">PDF para contexto y para validar cifras de otras fuentes.</t>
  </si>
  <si>
    <t xml:space="preserve">2. Diccionario de datos</t>
  </si>
  <si>
    <t xml:space="preserve">Una fila por campo que quedó en el lago. Si un campo del lago no aparece aquí, no existe.</t>
  </si>
  <si>
    <t xml:space="preserve">Archivo o tabla en el lago</t>
  </si>
  <si>
    <t xml:space="preserve">Nombre del campo en el lago</t>
  </si>
  <si>
    <t xml:space="preserve">Nombre original en la fuente</t>
  </si>
  <si>
    <t xml:space="preserve">Qué significa (en una frase)</t>
  </si>
  <si>
    <t xml:space="preserve">Tipo de dato</t>
  </si>
  <si>
    <t xml:space="preserve">Unidad de medida</t>
  </si>
  <si>
    <t xml:space="preserve">Ejemplo de valor</t>
  </si>
  <si>
    <t xml:space="preserve">¿Puede venir vacío?</t>
  </si>
  <si>
    <t xml:space="preserve">Valores permitidos o rango</t>
  </si>
  <si>
    <t xml:space="preserve">Clasificación</t>
  </si>
  <si>
    <t xml:space="preserve">Transformación que le hicieron</t>
  </si>
  <si>
    <t xml:space="preserve">Pregunta del sistema que ayuda a responder</t>
  </si>
  <si>
    <t xml:space="preserve">datos_procesados/poblacion_parroquia.csv</t>
  </si>
  <si>
    <t xml:space="preserve">parroquia</t>
  </si>
  <si>
    <t xml:space="preserve">Descripció</t>
  </si>
  <si>
    <t xml:space="preserve">Nombre de la parròquia a la que corresponde la cifra de población</t>
  </si>
  <si>
    <t xml:space="preserve">Texto</t>
  </si>
  <si>
    <t xml:space="preserve">nombre</t>
  </si>
  <si>
    <t xml:space="preserve">Canillo</t>
  </si>
  <si>
    <t xml:space="preserve">Una de las 7 parròquies</t>
  </si>
  <si>
    <t xml:space="preserve">Pública</t>
  </si>
  <si>
    <t xml:space="preserve">Se quita el prefijo 'POBLACIÓ PER PARRÒQUIA.' y se normaliza a nombre canónico; se excluye la fila TOTAL</t>
  </si>
  <si>
    <t xml:space="preserve">¿Cómo se distribuye la población entre las parròquies?</t>
  </si>
  <si>
    <t xml:space="preserve">anio</t>
  </si>
  <si>
    <t xml:space="preserve">(año en cabecera)</t>
  </si>
  <si>
    <t xml:space="preserve">Año al que corresponde la cifra de población</t>
  </si>
  <si>
    <t xml:space="preserve">Entero</t>
  </si>
  <si>
    <t xml:space="preserve">año</t>
  </si>
  <si>
    <t xml:space="preserve">2025</t>
  </si>
  <si>
    <t xml:space="preserve">Transformación ancho→largo: cada columna de año pasa a ser una fila</t>
  </si>
  <si>
    <t xml:space="preserve">¿Cómo evoluciona la población por parròquia en el tiempo?</t>
  </si>
  <si>
    <t xml:space="preserve">poblacion</t>
  </si>
  <si>
    <t xml:space="preserve">(valor de la celda de año)</t>
  </si>
  <si>
    <t xml:space="preserve">Número de habitantes de la parròquia en ese año</t>
  </si>
  <si>
    <t xml:space="preserve">personas</t>
  </si>
  <si>
    <t xml:space="preserve">6457</t>
  </si>
  <si>
    <t xml:space="preserve">≥ 0</t>
  </si>
  <si>
    <t xml:space="preserve">Se valida que sea entero no negativo; se descartan celdas vacías o no numéricas</t>
  </si>
  <si>
    <t xml:space="preserve">¿Cuántos habitantes tiene cada parròquia?</t>
  </si>
  <si>
    <t xml:space="preserve">fuente</t>
  </si>
  <si>
    <t xml:space="preserve">(anotado)</t>
  </si>
  <si>
    <t xml:space="preserve">Origen oficial del dato de población</t>
  </si>
  <si>
    <t xml:space="preserve">texto</t>
  </si>
  <si>
    <t xml:space="preserve">Departament d'Estadística d'Andorra (estadistica_id798)</t>
  </si>
  <si>
    <t xml:space="preserve">Texto de la fuente</t>
  </si>
  <si>
    <t xml:space="preserve">Se anota en el procesamiento (gobernanza): 0 cifras sin fuente</t>
  </si>
  <si>
    <t xml:space="preserve">¿De dónde viene cada cifra? (trazabilidad)</t>
  </si>
  <si>
    <t xml:space="preserve">vigencia</t>
  </si>
  <si>
    <t xml:space="preserve">Año o periodo al que corresponde la cifra</t>
  </si>
  <si>
    <t xml:space="preserve">Se anota como el año del propio registro</t>
  </si>
  <si>
    <t xml:space="preserve">¿A qué periodo corresponde la cifra?</t>
  </si>
  <si>
    <t xml:space="preserve">fecha_prueba</t>
  </si>
  <si>
    <t xml:space="preserve">Fecha en que se verificó/procesó el dato</t>
  </si>
  <si>
    <t xml:space="preserve">Fecha</t>
  </si>
  <si>
    <t xml:space="preserve">AAAA-MM-DD</t>
  </si>
  <si>
    <t xml:space="preserve">Fecha ISO</t>
  </si>
  <si>
    <t xml:space="preserve">Se anota en el procesamiento con la fecha de ejecución</t>
  </si>
  <si>
    <t xml:space="preserve">¿Cuándo se comprobó la cifra? (frescura)</t>
  </si>
  <si>
    <t xml:space="preserve">linaje</t>
  </si>
  <si>
    <t xml:space="preserve">Clasificación de gobernanza según linaje del dato</t>
  </si>
  <si>
    <t xml:space="preserve">etiqueta</t>
  </si>
  <si>
    <t xml:space="preserve">OBSERVADO</t>
  </si>
  <si>
    <t xml:space="preserve">OBSERVADO / ESTIMADO / PROXY</t>
  </si>
  <si>
    <t xml:space="preserve">Se etiqueta como OBSERVADO por ser dato oficial de censo</t>
  </si>
  <si>
    <t xml:space="preserve">¿Qué fiabilidad tiene la cifra? (observado vs estimado vs proxy)</t>
  </si>
  <si>
    <t xml:space="preserve">datos_procesados/precios_vivienda.csv</t>
  </si>
  <si>
    <t xml:space="preserve">Municipalities</t>
  </si>
  <si>
    <t xml:space="preserve">Parròquia a la que corresponde el precio de vivienda</t>
  </si>
  <si>
    <t xml:space="preserve">Se mapea el municipio de Indomio al nombre canónico (p.ej. 'Sant Julia de Loria'→'Sant Julià de Lòria')</t>
  </si>
  <si>
    <t xml:space="preserve">¿Cómo varían los precios de vivienda entre parròquies?</t>
  </si>
  <si>
    <t xml:space="preserve">precio_venta</t>
  </si>
  <si>
    <t xml:space="preserve">Sale €/m²</t>
  </si>
  <si>
    <t xml:space="preserve">Precio de oferta de venta por metro cuadrado</t>
  </si>
  <si>
    <t xml:space="preserve">Decimal</t>
  </si>
  <si>
    <t xml:space="preserve">€/m²</t>
  </si>
  <si>
    <t xml:space="preserve">7115.0</t>
  </si>
  <si>
    <t xml:space="preserve">Sí</t>
  </si>
  <si>
    <t xml:space="preserve">Se separa la celda '7,115(+14.8%)': se quita la coma de miles y se toma el número</t>
  </si>
  <si>
    <t xml:space="preserve">¿Cuánto cuesta comprar vivienda por parròquia?</t>
  </si>
  <si>
    <t xml:space="preserve">var_venta</t>
  </si>
  <si>
    <t xml:space="preserve">Sale €/m² (paréntesis)</t>
  </si>
  <si>
    <t xml:space="preserve">Variación interanual del precio de venta</t>
  </si>
  <si>
    <t xml:space="preserve">%</t>
  </si>
  <si>
    <t xml:space="preserve">14.8</t>
  </si>
  <si>
    <t xml:space="preserve">Positiva o negativa</t>
  </si>
  <si>
    <t xml:space="preserve">Se extrae el porcentaje entre paréntesis de la celda de venta, con su signo</t>
  </si>
  <si>
    <t xml:space="preserve">¿Suben o bajan los precios de venta y cuánto?
¿Qué zonas se encarecen más rápido?</t>
  </si>
  <si>
    <t xml:space="preserve">precio_alquiler</t>
  </si>
  <si>
    <t xml:space="preserve">Rent €/m²</t>
  </si>
  <si>
    <t xml:space="preserve">Precio de oferta de alquiler por metro cuadrado al mes</t>
  </si>
  <si>
    <t xml:space="preserve">€/m²/mes</t>
  </si>
  <si>
    <t xml:space="preserve">24.66</t>
  </si>
  <si>
    <t xml:space="preserve">Se separa la celda '24.66(+2.0%)' en precio y variación</t>
  </si>
  <si>
    <t xml:space="preserve">¿Cuánto cuesta alquilar vivienda por parròquia?
¿Cuánto cuesta alquilar en cada zona?</t>
  </si>
  <si>
    <t xml:space="preserve">var_alquiler</t>
  </si>
  <si>
    <t xml:space="preserve">Rent €/m² (paréntesis)</t>
  </si>
  <si>
    <t xml:space="preserve">Variación interanual del precio de alquiler</t>
  </si>
  <si>
    <t xml:space="preserve">-14.6</t>
  </si>
  <si>
    <t xml:space="preserve">Se extrae el porcentaje entre paréntesis de la celda de alquiler, con su signo</t>
  </si>
  <si>
    <t xml:space="preserve">¿Suben o bajan los alquileres y cuánto?</t>
  </si>
  <si>
    <t xml:space="preserve">Origen del dato de precios</t>
  </si>
  <si>
    <t xml:space="preserve">Indomio (scraping, precios de oferta)</t>
  </si>
  <si>
    <t xml:space="preserve">Se anota en el procesamiento (gobernanza)</t>
  </si>
  <si>
    <t xml:space="preserve">¿De dónde viene el precio? (trazabilidad)</t>
  </si>
  <si>
    <t xml:space="preserve">Periodo de la extracción del precio</t>
  </si>
  <si>
    <t xml:space="preserve">Año de la extracción</t>
  </si>
  <si>
    <t xml:space="preserve">Se anota como el año de fecha_prueba</t>
  </si>
  <si>
    <t xml:space="preserve">¿A qué periodo corresponde el precio?</t>
  </si>
  <si>
    <t xml:space="preserve">Fecha en que se extrajo/verificó el precio</t>
  </si>
  <si>
    <t xml:space="preserve">Se anota con la fecha de ejecución del scraping/procesamiento</t>
  </si>
  <si>
    <t xml:space="preserve">¿Cuándo se capturó el precio? (frescura)
¿Cómo cambia el precio mes a mes? (histórico propio)</t>
  </si>
  <si>
    <t xml:space="preserve">Clasificación de gobernanza del dato</t>
  </si>
  <si>
    <t xml:space="preserve">PROXY</t>
  </si>
  <si>
    <t xml:space="preserve">Se etiqueta como PROXY por ser precio de oferta de anuncios, no de transacción</t>
  </si>
  <si>
    <t xml:space="preserve">¿Qué fiabilidad tiene el precio? (es oferta, no cierre real)</t>
  </si>
  <si>
    <t xml:space="preserve">lago/indomio_precios.csv</t>
  </si>
  <si>
    <t xml:space="preserve">zona</t>
  </si>
  <si>
    <t xml:space="preserve">Título de la página / parte final de la URL</t>
  </si>
  <si>
    <t xml:space="preserve">Parroquia o barrio al que corresponde el precio</t>
  </si>
  <si>
    <t xml:space="preserve">—</t>
  </si>
  <si>
    <t xml:space="preserve">Santa Coloma</t>
  </si>
  <si>
    <t xml:space="preserve">7 parroquias y 3 barrios de Andorra la Vella</t>
  </si>
  <si>
    <t xml:space="preserve">Se normaliza el nombre (tildes y mayúsculas)</t>
  </si>
  <si>
    <t xml:space="preserve">¿Cuánto cuesta la vivienda en cada zona?</t>
  </si>
  <si>
    <t xml:space="preserve">nivel</t>
  </si>
  <si>
    <t xml:space="preserve">No viene en la fuente</t>
  </si>
  <si>
    <t xml:space="preserve">Indica si la zona es una parroquia o un barrio</t>
  </si>
  <si>
    <t xml:space="preserve">barrio</t>
  </si>
  <si>
    <t xml:space="preserve">parroquia, barrio</t>
  </si>
  <si>
    <t xml:space="preserve">Se asigna según la URL de donde se sacó</t>
  </si>
  <si>
    <t xml:space="preserve">lago/edificios_osm.geojson</t>
  </si>
  <si>
    <t xml:space="preserve">osm_id</t>
  </si>
  <si>
    <t xml:space="preserve">id</t>
  </si>
  <si>
    <t xml:space="preserve">Identificador del edificio en OpenStreetMap</t>
  </si>
  <si>
    <t xml:space="preserve">Código</t>
  </si>
  <si>
    <t xml:space="preserve">Número único</t>
  </si>
  <si>
    <t xml:space="preserve">Ninguna</t>
  </si>
  <si>
    <t xml:space="preserve">¿Dónde y cómo está construido el territorio?</t>
  </si>
  <si>
    <t xml:space="preserve">tipo_edificio</t>
  </si>
  <si>
    <t xml:space="preserve">tags.building</t>
  </si>
  <si>
    <t xml:space="preserve">Tipo de edificio según la etiqueta de OSM</t>
  </si>
  <si>
    <t xml:space="preserve">residential</t>
  </si>
  <si>
    <t xml:space="preserve">Valores de la etiqueta building de OSM (ej. yes, residential, commercial)</t>
  </si>
  <si>
    <t xml:space="preserve">niveles</t>
  </si>
  <si>
    <t xml:space="preserve">tags.building:levels</t>
  </si>
  <si>
    <t xml:space="preserve">Número de pisos del edificio</t>
  </si>
  <si>
    <t xml:space="preserve">pisos</t>
  </si>
  <si>
    <t xml:space="preserve">≥ 1 (la mayoría de edificios no lo trae)</t>
  </si>
  <si>
    <t xml:space="preserve">Se pasa de texto a número</t>
  </si>
  <si>
    <t xml:space="preserve">¿Qué tan alto es el edificado de cada zona?</t>
  </si>
  <si>
    <t xml:space="preserve">geometria</t>
  </si>
  <si>
    <t xml:space="preserve">geometry</t>
  </si>
  <si>
    <t xml:space="preserve">Contorno del edificio</t>
  </si>
  <si>
    <t xml:space="preserve">Coordenada / geometría</t>
  </si>
  <si>
    <t xml:space="preserve">grados (EPSG:4326)</t>
  </si>
  <si>
    <t xml:space="preserve">Polígono</t>
  </si>
  <si>
    <t xml:space="preserve">Coordenadas dentro de Andorra</t>
  </si>
  <si>
    <t xml:space="preserve">Se convierte la respuesta de Overpass a GeoJSON</t>
  </si>
  <si>
    <t xml:space="preserve">lago/transacciones_inmobiliarias.csv</t>
  </si>
  <si>
    <t xml:space="preserve">(por confirmar en el CSV)</t>
  </si>
  <si>
    <t xml:space="preserve">Parroquia donde se hicieron las transacciones</t>
  </si>
  <si>
    <t xml:space="preserve">Una de las 7 parroquias</t>
  </si>
  <si>
    <t xml:space="preserve">¿Dónde se compra y se vende más vivienda?</t>
  </si>
  <si>
    <t xml:space="preserve">trimestre</t>
  </si>
  <si>
    <t xml:space="preserve">Trimestre al que corresponde el conteo</t>
  </si>
  <si>
    <t xml:space="preserve">AAAA-Tn</t>
  </si>
  <si>
    <t xml:space="preserve">2026-T1</t>
  </si>
  <si>
    <t xml:space="preserve">AAAA-T1 a AAAA-T4</t>
  </si>
  <si>
    <t xml:space="preserve">Se pasa al formato AAAA-Tn</t>
  </si>
  <si>
    <t xml:space="preserve">¿Cómo se mueve el mercado inmobiliario en el tiempo?</t>
  </si>
  <si>
    <t xml:space="preserve">num_transacciones</t>
  </si>
  <si>
    <t xml:space="preserve">Número de transacciones inmobiliarias registradas</t>
  </si>
  <si>
    <t xml:space="preserve">transacciones</t>
  </si>
  <si>
    <t xml:space="preserve">lago/turismo_frontera.csv</t>
  </si>
  <si>
    <t xml:space="preserve">fecha</t>
  </si>
  <si>
    <t xml:space="preserve">Día del conteo en frontera</t>
  </si>
  <si>
    <t xml:space="preserve">2026-08-15</t>
  </si>
  <si>
    <t xml:space="preserve">Fechas válidas</t>
  </si>
  <si>
    <t xml:space="preserve">Se pasa la fecha a AAAA-MM-DD</t>
  </si>
  <si>
    <t xml:space="preserve">¿Cuándo llegan más visitantes a Andorra?</t>
  </si>
  <si>
    <t xml:space="preserve">turistas</t>
  </si>
  <si>
    <t xml:space="preserve">Visitantes que pernoctan, contados en frontera</t>
  </si>
  <si>
    <t xml:space="preserve">excursionistas</t>
  </si>
  <si>
    <t xml:space="preserve">Visitantes de un solo día, contados en frontera</t>
  </si>
  <si>
    <t xml:space="preserve">lago/aire_aqicn.json</t>
  </si>
  <si>
    <t xml:space="preserve">aqi</t>
  </si>
  <si>
    <t xml:space="preserve">data.aqi</t>
  </si>
  <si>
    <t xml:space="preserve">Índice de calidad del aire (escala US EPA)</t>
  </si>
  <si>
    <t xml:space="preserve">índice AQI</t>
  </si>
  <si>
    <t xml:space="preserve">0 a 500</t>
  </si>
  <si>
    <t xml:space="preserve">¿Qué tan limpio está el aire hoy?</t>
  </si>
  <si>
    <t xml:space="preserve">estacion</t>
  </si>
  <si>
    <t xml:space="preserve">data.city.name</t>
  </si>
  <si>
    <t xml:space="preserve">Nombre de la estación de medición</t>
  </si>
  <si>
    <t xml:space="preserve">Escaldes-Engordany</t>
  </si>
  <si>
    <t xml:space="preserve">fecha_medicion</t>
  </si>
  <si>
    <t xml:space="preserve">data.time.iso</t>
  </si>
  <si>
    <t xml:space="preserve">Momento en que se hizo la medición</t>
  </si>
  <si>
    <t xml:space="preserve">2026-09-28</t>
  </si>
  <si>
    <t xml:space="preserve">Se deja solo la fecha del texto ISO</t>
  </si>
  <si>
    <t xml:space="preserve">¿Cómo cambia la calidad del aire en el tiempo?</t>
  </si>
  <si>
    <t xml:space="preserve">pm25</t>
  </si>
  <si>
    <t xml:space="preserve">data.iaqi.pm25.v</t>
  </si>
  <si>
    <t xml:space="preserve">Índice de partículas finas (PM2.5)</t>
  </si>
  <si>
    <t xml:space="preserve">3. Bitácora de la búsqueda con IA</t>
  </si>
  <si>
    <t xml:space="preserve">Qué le encargaron a la IA y qué pasó con lo que respondió. Incluyan los errores: valen tanto como los aciertos.</t>
  </si>
  <si>
    <t xml:space="preserve">#</t>
  </si>
  <si>
    <t xml:space="preserve">Herramienta de IA</t>
  </si>
  <si>
    <t xml:space="preserve">Qué le encargaron</t>
  </si>
  <si>
    <t xml:space="preserve">Qué respondió (resumen)</t>
  </si>
  <si>
    <t xml:space="preserve">Cómo lo comprobaron</t>
  </si>
  <si>
    <t xml:space="preserve">Resultado</t>
  </si>
  <si>
    <t xml:space="preserve">ID fuente que salió de ahí</t>
  </si>
  <si>
    <t xml:space="preserve">Qué aprendieron</t>
  </si>
  <si>
    <t xml:space="preserve">DeepSeek</t>
  </si>
  <si>
    <t xml:space="preserve">Buscar todos los datasets, bases de datos o APIs posibles de Andorra para una web con mapa (edificios, €/m², etc.)</t>
  </si>
  <si>
    <t xml:space="preserve">Dio una lista por categorías: IDE Andorra, Geoportal LiDAR 360º, edificios de OSM en HDX, Departament d'Estadística, Esri Demographics (de pago), catastro del Comú de Andorra la Vella y cuadro de mando de Salud. Dijo que el €/m² real no está en un CSV público y que hay que hacer scraping de portales</t>
  </si>
  <si>
    <t xml:space="preserve">Abriendo algunos de los links que nos sugiere la ia, despues revisando que informacion otorga y en algunos casos si es de facil acceso</t>
  </si>
  <si>
    <t xml:space="preserve">Parcial</t>
  </si>
  <si>
    <t xml:space="preserve">F16–F19, F22, F23</t>
  </si>
  <si>
    <t xml:space="preserve">Que la IA dé una lista larga no la hace útil: cada enlace hay que abrirlo y probarlo.</t>
  </si>
  <si>
    <t xml:space="preserve">Revisar el documento de fuentes, decir si los links sirven y quedarse con los mejores</t>
  </si>
  <si>
    <t xml:space="preserve">Dijo que había verificado los links y que casi todos eran correctos y activos (Estadística, Indomio, Geofabrik, IDE, FEDA, aqicn, AR+I). Añadió «Andorra en Xifres» y destacó AGIA</t>
  </si>
  <si>
    <t xml:space="preserve">Al abrir estadistica.ad, el contenido salía vacío. Con la pestaña Red vimos que los datos vienen de sig.govern.ad. El patrón exportar_banc_dades_csv.asp del documento no lo vimos en la captura y no está probado</t>
  </si>
  <si>
    <t xml:space="preserve">F01–F03, F24</t>
  </si>
  <si>
    <t xml:space="preserve">Que la IA diga «verificado» no prueba que la fuente abra o descargue. Hay que ver de dónde salen los datos de verdad.</t>
  </si>
  <si>
    <t xml:space="preserve">Explicar por qué el €/m² sale de portales y no de Airbnb, verificar cada categoría y buscar mejores links</t>
  </si>
  <si>
    <t xml:space="preserve">Explicó que Airbnb mide precio por noche (ADR), no €/m² de compra, y propuso usarlo solo como capa de rentabilidad. Dijo que Pisos.ad es mejor fuente que Indomio (informe PDF trimestral) y que los precios oficiales y los de portales difieren casi el doble. Respondió primero en chino aunque se escribió en español</t>
  </si>
  <si>
    <t xml:space="preserve">Al comparar las dos versiones de su respuesta, para Estadística dan 4.498 €/m² (2T-2025) en una y 4.415,9 €/m² (1T-2026) en la otra. No dio links a Pisos.ad ni a los PDFs y no los hemos abierto</t>
  </si>
  <si>
    <t xml:space="preserve">F15, F20, F21</t>
  </si>
  <si>
    <t xml:space="preserve">La explicación de Airbnb tiene sentido, pero las cifras cambian entre respuestas y sin link no se pueden comprobar. Hay que buscar el dato en la fuente.</t>
  </si>
  <si>
    <t xml:space="preserve">Generar un Word con toda la información</t>
  </si>
  <si>
    <t xml:space="preserve">Dijo que no puede crear archivos y entregó el texto formateado para pegar en Word</t>
  </si>
  <si>
    <t xml:space="preserve">Ese texto se pegó en Word como Datasets_Andorra_Proyecto; de él salieron las fuentes F01–F04, F06–F14</t>
  </si>
  <si>
    <t xml:space="preserve">Correcto</t>
  </si>
  <si>
    <t xml:space="preserve">F01–F04, F06–F14</t>
  </si>
  <si>
    <t xml:space="preserve">La IA reconoció lo que no podía hacer en vez de fingir.</t>
  </si>
  <si>
    <t xml:space="preserve">Claude</t>
  </si>
  <si>
    <t xml:space="preserve">Abrir y leer el portal estadistica.ad/portal/apps/sites/#/estadistica-ca/ para ver qué datos ofrece</t>
  </si>
  <si>
    <t xml:space="preserve">No pudo leer el contenido: solo le llegó la configuración de una app de Esri que se dibuja con JavaScript, y avisó de que no podía navegarla</t>
  </si>
  <si>
    <t xml:space="preserve">Abrimos la misma página en el navegador y la sección «Estadístiques i dades» salía vacía</t>
  </si>
  <si>
    <t xml:space="preserve">Una IA no ve las páginas que se arman con JavaScript; hay que mirar la pestaña Red del navegador para ver de dónde salen los datos.</t>
  </si>
  <si>
    <t xml:space="preserve">Encontrar una API para consultar los datos de estadistica.ad</t>
  </si>
  <si>
    <t xml:space="preserve">Sugirió probar https://www.estadistica.ad/portal/sharing/rest/search?q=*&amp;f=json (dijo que era una suposición suya, sin confirmar)</t>
  </si>
  <si>
    <t xml:space="preserve">La abrimos en el navegador: respondió total 0 y results vacío (captura de pantalla)</t>
  </si>
  <si>
    <t xml:space="preserve">Incorrecto</t>
  </si>
  <si>
    <t xml:space="preserve">La sugerencia de la IA no funcionó. Ese portal es solo una carcasa y no tiene los datos.</t>
  </si>
  <si>
    <t xml:space="preserve">Kiro / asistente IA</t>
  </si>
  <si>
    <t xml:space="preserve">Encontrar la fuente oficial de población y vivienda por parròquia de Andorra</t>
  </si>
  <si>
    <t xml:space="preserve">Señaló el Departament d'Estadística (banc de dades, sig.govern.ad) con CSV parametrizable por tema/fecha</t>
  </si>
  <si>
    <t xml:space="preserve">Se descargó el CSV de población por parròquia y se abrió: separador ';', años 2020-2025 y fila TOTAL</t>
  </si>
  <si>
    <t xml:space="preserve">La fuente oficial existe y da CSV; el formato es ancho y trae una fila TOTAL que hay que excluir.</t>
  </si>
  <si>
    <t xml:space="preserve">Conseguir precio de vivienda por zona/barrio en Andorra</t>
  </si>
  <si>
    <t xml:space="preserve">Propuso portales inmobiliarios (Indomio, Idealista, Fotocasa) y a AGIA como fuente sectorial</t>
  </si>
  <si>
    <t xml:space="preserve">Se abrió Indomio y se hizo scraping con requests+BeautifulSoup enviando User-Agent de navegador</t>
  </si>
  <si>
    <t xml:space="preserve">Indomio da desglose por parròquia (y barrios solo en Andorra la Vella) pero es dato de oferta (PROXY), no transacción.</t>
  </si>
  <si>
    <t xml:space="preserve">Obtener la geometría de edificios sin depender del catastro oficial</t>
  </si>
  <si>
    <t xml:space="preserve">Recomendó OpenStreetMap vía Overpass API (query por área) y Geofabrik como extracto</t>
  </si>
  <si>
    <t xml:space="preserve">Se lanzó la query Overpass; devolvió 406 hasta añadir un User-Agent de navegador, luego respondió</t>
  </si>
  <si>
    <t xml:space="preserve">Overpass funciona sin llave pero exige User-Agent; pocos edificios tienen altura (building:levels).</t>
  </si>
  <si>
    <t xml:space="preserve">Descargar transacciones inmobiliarias e indicadores económicos oficiales por API</t>
  </si>
  <si>
    <t xml:space="preserve">Indicó los idDivision 820 (transacciones) y 810 (económicos) del endpoint de datos de sig.govern.ad</t>
  </si>
  <si>
    <t xml:space="preserve">Se descargaron ambos CSV y se inspeccionó su contenido frente al nombre/tema esperado</t>
  </si>
  <si>
    <t xml:space="preserve">El contenido descargado no coincide con el nombre del archivo; ambos se descartaron del lago.</t>
  </si>
  <si>
    <t xml:space="preserve">Elegir motor de procesamiento del lago (pandas vs DuckDB) sobre los mismos crudos</t>
  </si>
  <si>
    <t xml:space="preserve">Comparó ambos: pandas más idiomático para melt() y limpieza de celdas; DuckDB mejor solo a gran volumen</t>
  </si>
  <si>
    <t xml:space="preserve">Se probaron los dos sobre el CSV de población y las celdas '7,115(+14.8%)' de Indomio</t>
  </si>
  <si>
    <t xml:space="preserve">Para decenas de filas gana pandas; DuckDB queda documentado como candidato si el lago crece.</t>
  </si>
  <si>
    <t xml:space="preserve">Elegir herramienta de vistas (Streamlit vs Dash) para el patrón cifra+metadato+linaje</t>
  </si>
  <si>
    <t xml:space="preserve">Comparó ambas: Streamlit resuelve st.metric/st.caption de forma trivial; Dash exige más composición</t>
  </si>
  <si>
    <t xml:space="preserve">Se prototiparon las 4 vistas sobre los mismos datos procesados</t>
  </si>
  <si>
    <t xml:space="preserve">Streamlit es más rápido para v1; Dash queda como candidato si se necesita interactividad avanzada.</t>
  </si>
  <si>
    <t xml:space="preserve">Resumen del lago</t>
  </si>
  <si>
    <t xml:space="preserve">Se calcula solo desde las otras hojas; no cuenta las filas de ejemplo (fila 4).</t>
  </si>
  <si>
    <t xml:space="preserve">Fuentes registradas</t>
  </si>
  <si>
    <t xml:space="preserve">  · integradas al lago</t>
  </si>
  <si>
    <t xml:space="preserve">  · candidatas</t>
  </si>
  <si>
    <t xml:space="preserve">  · que no responden</t>
  </si>
  <si>
    <t xml:space="preserve">  · que no existen (inventadas por la IA)</t>
  </si>
  <si>
    <t xml:space="preserve">  · descartadas</t>
  </si>
  <si>
    <t xml:space="preserve">Fuentes con licencia «no declara» o vacía</t>
  </si>
  <si>
    <t xml:space="preserve">Fuentes con personas identificables o texto libre</t>
  </si>
  <si>
    <t xml:space="preserve">Campos en el diccionario</t>
  </si>
  <si>
    <t xml:space="preserve">  · clasificados como sensibles o dato personal</t>
  </si>
  <si>
    <t xml:space="preserve">  · sin pregunta del sistema asociada</t>
  </si>
  <si>
    <t xml:space="preserve">Encargos a la IA registrados</t>
  </si>
  <si>
    <t xml:space="preserve">  · con respuesta incorrecta o inventada</t>
  </si>
  <si>
    <t xml:space="preserve">Porcentaje de aciertos plenos de la 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</si>
</sst>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2"/>
      <charset val="1"/>
    </font>
    <font>
      <sz val="9"/>
      <color rgb="FF555555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4"/>
      <name val="Arial"/>
      <family val="2"/>
      <charset val="1"/>
    </font>
    <font>
      <i val="true"/>
      <sz val="9"/>
      <color rgb="FF555555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9"/>
      <color rgb="FF666666"/>
      <name val="Arial"/>
      <family val="2"/>
      <charset val="1"/>
    </font>
    <font>
      <sz val="10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CC"/>
        <bgColor rgb="FFEDEDED"/>
      </patternFill>
    </fill>
    <fill>
      <patternFill patternType="solid">
        <fgColor rgb="FF1F1F1F"/>
        <bgColor rgb="FF333300"/>
      </patternFill>
    </fill>
    <fill>
      <patternFill patternType="solid">
        <fgColor rgb="FFEDEDED"/>
        <bgColor rgb="FFFFF7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ig.govern.ad/Sigdde.Public/Inici" TargetMode="External"/><Relationship Id="rId2" Type="http://schemas.openxmlformats.org/officeDocument/2006/relationships/hyperlink" Target="https://www.indomio.es/en/mercado-inmobiliario/andorra/andorra-provincia/" TargetMode="External"/><Relationship Id="rId3" Type="http://schemas.openxmlformats.org/officeDocument/2006/relationships/hyperlink" Target="https://overpass-api.de/api/interpreter" TargetMode="External"/><Relationship Id="rId4" Type="http://schemas.openxmlformats.org/officeDocument/2006/relationships/hyperlink" Target="https://sig.govern.ad/Sigdde.Public/estadistiquesdades/api/data" TargetMode="External"/><Relationship Id="rId5" Type="http://schemas.openxmlformats.org/officeDocument/2006/relationships/hyperlink" Target="https://sig.govern.ad/Sigdde.Public/estadistiquesdades/api/data" TargetMode="External"/><Relationship Id="rId6" Type="http://schemas.openxmlformats.org/officeDocument/2006/relationships/hyperlink" Target="https://www.agia.ad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7734375" defaultRowHeight="14.2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8.75" hidden="false" customHeight="true" outlineLevel="0" collapsed="false">
      <c r="B1" s="1" t="s">
        <v>0</v>
      </c>
    </row>
    <row r="2" customFormat="false" ht="14.25" hidden="false" customHeight="false" outlineLevel="0" collapsed="false">
      <c r="B2" s="2" t="s">
        <v>1</v>
      </c>
    </row>
    <row r="3" customFormat="false" ht="14.25" hidden="false" customHeight="false" outlineLevel="0" collapsed="false">
      <c r="B3" s="3"/>
    </row>
    <row r="4" customFormat="false" ht="15.75" hidden="false" customHeight="true" outlineLevel="0" collapsed="false">
      <c r="B4" s="4" t="s">
        <v>2</v>
      </c>
    </row>
    <row r="5" customFormat="false" ht="14.25" hidden="false" customHeight="false" outlineLevel="0" collapsed="false">
      <c r="B5" s="5" t="s">
        <v>3</v>
      </c>
    </row>
    <row r="6" customFormat="false" ht="14.25" hidden="false" customHeight="false" outlineLevel="0" collapsed="false">
      <c r="B6" s="5" t="s">
        <v>4</v>
      </c>
    </row>
    <row r="7" customFormat="false" ht="14.25" hidden="false" customHeight="false" outlineLevel="0" collapsed="false">
      <c r="B7" s="5" t="s">
        <v>5</v>
      </c>
    </row>
    <row r="8" customFormat="false" ht="14.25" hidden="false" customHeight="false" outlineLevel="0" collapsed="false">
      <c r="B8" s="3"/>
    </row>
    <row r="9" customFormat="false" ht="15.75" hidden="false" customHeight="true" outlineLevel="0" collapsed="false">
      <c r="B9" s="4" t="s">
        <v>6</v>
      </c>
    </row>
    <row r="10" customFormat="false" ht="28.5" hidden="false" customHeight="true" outlineLevel="0" collapsed="false">
      <c r="B10" s="3" t="s">
        <v>7</v>
      </c>
    </row>
    <row r="11" customFormat="false" ht="14.25" hidden="false" customHeight="false" outlineLevel="0" collapsed="false">
      <c r="B11" s="3" t="s">
        <v>8</v>
      </c>
    </row>
    <row r="12" customFormat="false" ht="14.25" hidden="false" customHeight="false" outlineLevel="0" collapsed="false">
      <c r="B12" s="3" t="s">
        <v>9</v>
      </c>
    </row>
    <row r="13" customFormat="false" ht="14.25" hidden="false" customHeight="false" outlineLevel="0" collapsed="false">
      <c r="B13" s="3" t="s">
        <v>10</v>
      </c>
    </row>
    <row r="14" customFormat="false" ht="14.25" hidden="false" customHeight="false" outlineLevel="0" collapsed="false">
      <c r="B14" s="3"/>
    </row>
    <row r="15" customFormat="false" ht="15.75" hidden="false" customHeight="true" outlineLevel="0" collapsed="false">
      <c r="B15" s="4" t="s">
        <v>11</v>
      </c>
    </row>
    <row r="16" customFormat="false" ht="28.5" hidden="false" customHeight="true" outlineLevel="0" collapsed="false">
      <c r="B16" s="3" t="s">
        <v>12</v>
      </c>
    </row>
    <row r="17" customFormat="false" ht="14.25" hidden="false" customHeight="false" outlineLevel="0" collapsed="false">
      <c r="B17" s="3" t="s">
        <v>13</v>
      </c>
    </row>
    <row r="18" customFormat="false" ht="14.25" hidden="false" customHeight="false" outlineLevel="0" collapsed="false">
      <c r="B18" s="3" t="s">
        <v>14</v>
      </c>
    </row>
    <row r="19" customFormat="false" ht="14.25" hidden="false" customHeight="false" outlineLevel="0" collapsed="false">
      <c r="B19" s="3" t="s">
        <v>15</v>
      </c>
    </row>
    <row r="20" customFormat="false" ht="14.25" hidden="false" customHeight="false" outlineLevel="0" collapsed="false">
      <c r="B20" s="3" t="s">
        <v>16</v>
      </c>
    </row>
    <row r="21" customFormat="false" ht="14.25" hidden="false" customHeight="false" outlineLevel="0" collapsed="false">
      <c r="B21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E8" activeCellId="0" sqref="E8"/>
    </sheetView>
  </sheetViews>
  <sheetFormatPr defaultColWidth="8.777343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6.44"/>
    <col collapsed="false" customWidth="true" hidden="false" outlineLevel="0" max="13" min="12" style="0" width="14"/>
    <col collapsed="false" customWidth="true" hidden="false" outlineLevel="0" max="14" min="14" style="0" width="20"/>
    <col collapsed="false" customWidth="true" hidden="false" outlineLevel="0" max="15" min="15" style="0" width="26"/>
    <col collapsed="false" customWidth="true" hidden="false" outlineLevel="0" max="16" min="16" style="0" width="32"/>
  </cols>
  <sheetData>
    <row r="1" customFormat="false" ht="18" hidden="false" customHeight="true" outlineLevel="0" collapsed="false">
      <c r="A1" s="6" t="s">
        <v>18</v>
      </c>
    </row>
    <row r="2" customFormat="false" ht="14.25" hidden="false" customHeight="false" outlineLevel="0" collapsed="false">
      <c r="A2" s="7" t="s">
        <v>19</v>
      </c>
    </row>
    <row r="3" customFormat="false" ht="42" hidden="false" customHeight="true" outlineLevel="0" collapsed="false">
      <c r="A3" s="8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8" t="s">
        <v>25</v>
      </c>
      <c r="G3" s="8" t="s">
        <v>26</v>
      </c>
      <c r="H3" s="8" t="s">
        <v>27</v>
      </c>
      <c r="I3" s="8" t="s">
        <v>28</v>
      </c>
      <c r="J3" s="8" t="s">
        <v>29</v>
      </c>
      <c r="K3" s="8" t="s">
        <v>30</v>
      </c>
      <c r="L3" s="8" t="s">
        <v>31</v>
      </c>
      <c r="M3" s="8" t="s">
        <v>32</v>
      </c>
      <c r="N3" s="8" t="s">
        <v>33</v>
      </c>
      <c r="O3" s="8" t="s">
        <v>34</v>
      </c>
      <c r="P3" s="8" t="s">
        <v>35</v>
      </c>
    </row>
    <row r="4" customFormat="false" ht="51.75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customFormat="false" ht="69.75" hidden="false" customHeight="true" outlineLevel="0" collapsed="false">
      <c r="A5" s="10" t="s">
        <v>36</v>
      </c>
      <c r="B5" s="10" t="s">
        <v>37</v>
      </c>
      <c r="C5" s="10" t="s">
        <v>38</v>
      </c>
      <c r="D5" s="10" t="s">
        <v>39</v>
      </c>
      <c r="E5" s="11" t="s">
        <v>40</v>
      </c>
      <c r="F5" s="10" t="s">
        <v>41</v>
      </c>
      <c r="G5" s="10" t="s">
        <v>42</v>
      </c>
      <c r="H5" s="10" t="s">
        <v>43</v>
      </c>
      <c r="I5" s="10" t="s">
        <v>44</v>
      </c>
      <c r="J5" s="10" t="s">
        <v>45</v>
      </c>
      <c r="K5" s="10" t="s">
        <v>46</v>
      </c>
      <c r="L5" s="10" t="s">
        <v>47</v>
      </c>
      <c r="M5" s="10" t="s">
        <v>48</v>
      </c>
      <c r="N5" s="10" t="s">
        <v>49</v>
      </c>
      <c r="O5" s="10" t="s">
        <v>50</v>
      </c>
      <c r="P5" s="10" t="s">
        <v>51</v>
      </c>
    </row>
    <row r="6" customFormat="false" ht="82.5" hidden="false" customHeight="true" outlineLevel="0" collapsed="false">
      <c r="A6" s="10" t="s">
        <v>52</v>
      </c>
      <c r="B6" s="10" t="s">
        <v>53</v>
      </c>
      <c r="C6" s="10" t="s">
        <v>54</v>
      </c>
      <c r="D6" s="10" t="s">
        <v>55</v>
      </c>
      <c r="E6" s="11" t="s">
        <v>56</v>
      </c>
      <c r="F6" s="10" t="s">
        <v>57</v>
      </c>
      <c r="G6" s="10" t="s">
        <v>58</v>
      </c>
      <c r="H6" s="10" t="s">
        <v>43</v>
      </c>
      <c r="I6" s="10" t="s">
        <v>44</v>
      </c>
      <c r="J6" s="10" t="s">
        <v>59</v>
      </c>
      <c r="K6" s="10" t="s">
        <v>60</v>
      </c>
      <c r="L6" s="10" t="s">
        <v>61</v>
      </c>
      <c r="M6" s="10" t="s">
        <v>48</v>
      </c>
      <c r="N6" s="10" t="s">
        <v>49</v>
      </c>
      <c r="O6" s="10" t="s">
        <v>62</v>
      </c>
      <c r="P6" s="10" t="s">
        <v>63</v>
      </c>
    </row>
    <row r="7" customFormat="false" ht="95.25" hidden="false" customHeight="true" outlineLevel="0" collapsed="false">
      <c r="A7" s="10" t="s">
        <v>64</v>
      </c>
      <c r="B7" s="10" t="s">
        <v>65</v>
      </c>
      <c r="C7" s="10" t="s">
        <v>66</v>
      </c>
      <c r="D7" s="10" t="s">
        <v>67</v>
      </c>
      <c r="E7" s="11" t="s">
        <v>68</v>
      </c>
      <c r="F7" s="10" t="s">
        <v>69</v>
      </c>
      <c r="G7" s="10" t="s">
        <v>70</v>
      </c>
      <c r="H7" s="10" t="s">
        <v>71</v>
      </c>
      <c r="I7" s="10" t="s">
        <v>44</v>
      </c>
      <c r="J7" s="10" t="s">
        <v>72</v>
      </c>
      <c r="K7" s="10" t="s">
        <v>73</v>
      </c>
      <c r="L7" s="10" t="s">
        <v>74</v>
      </c>
      <c r="M7" s="10" t="s">
        <v>48</v>
      </c>
      <c r="N7" s="10" t="s">
        <v>75</v>
      </c>
      <c r="O7" s="10" t="s">
        <v>76</v>
      </c>
      <c r="P7" s="10" t="s">
        <v>77</v>
      </c>
    </row>
    <row r="8" customFormat="false" ht="69.75" hidden="false" customHeight="true" outlineLevel="0" collapsed="false">
      <c r="A8" s="10" t="s">
        <v>78</v>
      </c>
      <c r="B8" s="10" t="s">
        <v>79</v>
      </c>
      <c r="C8" s="10" t="s">
        <v>38</v>
      </c>
      <c r="D8" s="10" t="s">
        <v>39</v>
      </c>
      <c r="E8" s="11" t="s">
        <v>80</v>
      </c>
      <c r="F8" s="10" t="s">
        <v>41</v>
      </c>
      <c r="G8" s="10" t="s">
        <v>70</v>
      </c>
      <c r="H8" s="10" t="s">
        <v>43</v>
      </c>
      <c r="I8" s="10" t="s">
        <v>44</v>
      </c>
      <c r="J8" s="10" t="s">
        <v>81</v>
      </c>
      <c r="K8" s="10" t="s">
        <v>82</v>
      </c>
      <c r="L8" s="10" t="s">
        <v>83</v>
      </c>
      <c r="M8" s="10" t="s">
        <v>48</v>
      </c>
      <c r="N8" s="10" t="s">
        <v>84</v>
      </c>
      <c r="O8" s="10" t="s">
        <v>85</v>
      </c>
      <c r="P8" s="10" t="s">
        <v>86</v>
      </c>
    </row>
    <row r="9" customFormat="false" ht="44.25" hidden="false" customHeight="true" outlineLevel="0" collapsed="false">
      <c r="A9" s="10" t="s">
        <v>87</v>
      </c>
      <c r="B9" s="10" t="s">
        <v>88</v>
      </c>
      <c r="C9" s="10" t="s">
        <v>38</v>
      </c>
      <c r="D9" s="10" t="s">
        <v>39</v>
      </c>
      <c r="E9" s="11" t="s">
        <v>80</v>
      </c>
      <c r="F9" s="10" t="s">
        <v>41</v>
      </c>
      <c r="G9" s="10" t="s">
        <v>70</v>
      </c>
      <c r="H9" s="10" t="s">
        <v>43</v>
      </c>
      <c r="I9" s="10" t="s">
        <v>44</v>
      </c>
      <c r="J9" s="10" t="s">
        <v>89</v>
      </c>
      <c r="K9" s="10" t="s">
        <v>82</v>
      </c>
      <c r="L9" s="10" t="s">
        <v>83</v>
      </c>
      <c r="M9" s="10" t="s">
        <v>48</v>
      </c>
      <c r="N9" s="10" t="s">
        <v>84</v>
      </c>
      <c r="O9" s="10" t="s">
        <v>90</v>
      </c>
      <c r="P9" s="10" t="s">
        <v>91</v>
      </c>
    </row>
    <row r="10" customFormat="false" ht="69.75" hidden="false" customHeight="true" outlineLevel="0" collapsed="false">
      <c r="A10" s="10" t="s">
        <v>92</v>
      </c>
      <c r="B10" s="10" t="s">
        <v>93</v>
      </c>
      <c r="C10" s="10" t="s">
        <v>94</v>
      </c>
      <c r="D10" s="10" t="s">
        <v>95</v>
      </c>
      <c r="E10" s="11" t="s">
        <v>96</v>
      </c>
      <c r="F10" s="10" t="s">
        <v>97</v>
      </c>
      <c r="G10" s="10" t="s">
        <v>98</v>
      </c>
      <c r="H10" s="10" t="s">
        <v>43</v>
      </c>
      <c r="I10" s="10" t="s">
        <v>44</v>
      </c>
      <c r="J10" s="10" t="s">
        <v>99</v>
      </c>
      <c r="K10" s="10" t="s">
        <v>100</v>
      </c>
      <c r="L10" s="10" t="s">
        <v>101</v>
      </c>
      <c r="M10" s="10" t="s">
        <v>48</v>
      </c>
      <c r="N10" s="10" t="s">
        <v>75</v>
      </c>
      <c r="O10" s="10" t="s">
        <v>102</v>
      </c>
      <c r="P10" s="10" t="s">
        <v>103</v>
      </c>
    </row>
    <row r="11" customFormat="false" ht="31.5" hidden="false" customHeight="true" outlineLevel="0" collapsed="false">
      <c r="A11" s="10" t="s">
        <v>104</v>
      </c>
      <c r="B11" s="10" t="s">
        <v>105</v>
      </c>
      <c r="C11" s="10" t="s">
        <v>106</v>
      </c>
      <c r="D11" s="10" t="s">
        <v>39</v>
      </c>
      <c r="E11" s="10" t="s">
        <v>40</v>
      </c>
      <c r="F11" s="10" t="s">
        <v>57</v>
      </c>
      <c r="G11" s="10" t="s">
        <v>98</v>
      </c>
      <c r="H11" s="10"/>
      <c r="I11" s="10" t="s">
        <v>44</v>
      </c>
      <c r="J11" s="10" t="s">
        <v>107</v>
      </c>
      <c r="K11" s="10"/>
      <c r="L11" s="10"/>
      <c r="M11" s="10"/>
      <c r="N11" s="10"/>
      <c r="O11" s="10" t="s">
        <v>108</v>
      </c>
      <c r="P11" s="10" t="s">
        <v>109</v>
      </c>
    </row>
    <row r="12" customFormat="false" ht="31.5" hidden="false" customHeight="true" outlineLevel="0" collapsed="false">
      <c r="A12" s="10" t="s">
        <v>110</v>
      </c>
      <c r="B12" s="10" t="s">
        <v>111</v>
      </c>
      <c r="C12" s="10" t="s">
        <v>112</v>
      </c>
      <c r="D12" s="10"/>
      <c r="E12" s="10"/>
      <c r="F12" s="10" t="s">
        <v>57</v>
      </c>
      <c r="G12" s="10" t="s">
        <v>98</v>
      </c>
      <c r="H12" s="10"/>
      <c r="I12" s="10" t="s">
        <v>44</v>
      </c>
      <c r="J12" s="10" t="s">
        <v>113</v>
      </c>
      <c r="K12" s="10"/>
      <c r="L12" s="10" t="s">
        <v>114</v>
      </c>
      <c r="M12" s="10"/>
      <c r="N12" s="10"/>
      <c r="O12" s="10" t="s">
        <v>108</v>
      </c>
      <c r="P12" s="10" t="s">
        <v>115</v>
      </c>
    </row>
    <row r="13" customFormat="false" ht="31.5" hidden="false" customHeight="true" outlineLevel="0" collapsed="false">
      <c r="A13" s="10" t="s">
        <v>116</v>
      </c>
      <c r="B13" s="10" t="s">
        <v>117</v>
      </c>
      <c r="C13" s="10" t="s">
        <v>118</v>
      </c>
      <c r="D13" s="10" t="s">
        <v>39</v>
      </c>
      <c r="E13" s="10"/>
      <c r="F13" s="10" t="s">
        <v>57</v>
      </c>
      <c r="G13" s="10" t="s">
        <v>98</v>
      </c>
      <c r="H13" s="10"/>
      <c r="I13" s="10" t="s">
        <v>44</v>
      </c>
      <c r="J13" s="10" t="s">
        <v>107</v>
      </c>
      <c r="K13" s="10"/>
      <c r="L13" s="10"/>
      <c r="M13" s="10"/>
      <c r="N13" s="10"/>
      <c r="O13" s="10" t="s">
        <v>108</v>
      </c>
      <c r="P13" s="10" t="s">
        <v>119</v>
      </c>
    </row>
    <row r="14" customFormat="false" ht="31.5" hidden="false" customHeight="true" outlineLevel="0" collapsed="false">
      <c r="A14" s="10" t="s">
        <v>120</v>
      </c>
      <c r="B14" s="10" t="s">
        <v>121</v>
      </c>
      <c r="C14" s="10" t="s">
        <v>122</v>
      </c>
      <c r="D14" s="10" t="s">
        <v>39</v>
      </c>
      <c r="E14" s="10"/>
      <c r="F14" s="10" t="s">
        <v>57</v>
      </c>
      <c r="G14" s="10" t="s">
        <v>98</v>
      </c>
      <c r="H14" s="10"/>
      <c r="I14" s="10" t="s">
        <v>44</v>
      </c>
      <c r="J14" s="10" t="s">
        <v>107</v>
      </c>
      <c r="K14" s="10"/>
      <c r="L14" s="10" t="s">
        <v>61</v>
      </c>
      <c r="M14" s="10"/>
      <c r="N14" s="10"/>
      <c r="O14" s="10" t="s">
        <v>108</v>
      </c>
      <c r="P14" s="10"/>
    </row>
    <row r="15" customFormat="false" ht="31.5" hidden="false" customHeight="true" outlineLevel="0" collapsed="false">
      <c r="A15" s="10" t="s">
        <v>123</v>
      </c>
      <c r="B15" s="10" t="s">
        <v>124</v>
      </c>
      <c r="C15" s="10" t="s">
        <v>125</v>
      </c>
      <c r="D15" s="10" t="s">
        <v>55</v>
      </c>
      <c r="E15" s="10"/>
      <c r="F15" s="10" t="s">
        <v>57</v>
      </c>
      <c r="G15" s="10" t="s">
        <v>98</v>
      </c>
      <c r="H15" s="10"/>
      <c r="I15" s="10" t="s">
        <v>44</v>
      </c>
      <c r="J15" s="10" t="s">
        <v>126</v>
      </c>
      <c r="K15" s="10"/>
      <c r="L15" s="10"/>
      <c r="M15" s="10"/>
      <c r="N15" s="10"/>
      <c r="O15" s="10" t="s">
        <v>108</v>
      </c>
      <c r="P15" s="10"/>
    </row>
    <row r="16" customFormat="false" ht="69.75" hidden="false" customHeight="true" outlineLevel="0" collapsed="false">
      <c r="A16" s="10" t="s">
        <v>127</v>
      </c>
      <c r="B16" s="10" t="s">
        <v>128</v>
      </c>
      <c r="C16" s="10" t="s">
        <v>129</v>
      </c>
      <c r="D16" s="10" t="s">
        <v>39</v>
      </c>
      <c r="E16" s="10" t="s">
        <v>130</v>
      </c>
      <c r="F16" s="10" t="s">
        <v>57</v>
      </c>
      <c r="G16" s="10" t="s">
        <v>98</v>
      </c>
      <c r="H16" s="10"/>
      <c r="I16" s="10" t="s">
        <v>44</v>
      </c>
      <c r="J16" s="10" t="s">
        <v>131</v>
      </c>
      <c r="K16" s="10" t="s">
        <v>132</v>
      </c>
      <c r="L16" s="10" t="s">
        <v>133</v>
      </c>
      <c r="M16" s="10"/>
      <c r="N16" s="10" t="s">
        <v>75</v>
      </c>
      <c r="O16" s="10" t="s">
        <v>134</v>
      </c>
      <c r="P16" s="10" t="s">
        <v>135</v>
      </c>
    </row>
    <row r="17" customFormat="false" ht="57" hidden="false" customHeight="true" outlineLevel="0" collapsed="false">
      <c r="A17" s="10" t="s">
        <v>136</v>
      </c>
      <c r="B17" s="10" t="s">
        <v>137</v>
      </c>
      <c r="C17" s="10" t="s">
        <v>138</v>
      </c>
      <c r="D17" s="10" t="s">
        <v>55</v>
      </c>
      <c r="E17" s="10" t="s">
        <v>139</v>
      </c>
      <c r="F17" s="10" t="s">
        <v>57</v>
      </c>
      <c r="G17" s="10" t="s">
        <v>98</v>
      </c>
      <c r="H17" s="10"/>
      <c r="I17" s="10" t="s">
        <v>44</v>
      </c>
      <c r="J17" s="10" t="s">
        <v>140</v>
      </c>
      <c r="K17" s="10" t="s">
        <v>141</v>
      </c>
      <c r="L17" s="10"/>
      <c r="M17" s="10"/>
      <c r="N17" s="10"/>
      <c r="O17" s="10" t="s">
        <v>142</v>
      </c>
      <c r="P17" s="10" t="s">
        <v>143</v>
      </c>
    </row>
    <row r="18" customFormat="false" ht="57" hidden="false" customHeight="true" outlineLevel="0" collapsed="false">
      <c r="A18" s="10" t="s">
        <v>144</v>
      </c>
      <c r="B18" s="10" t="s">
        <v>145</v>
      </c>
      <c r="C18" s="10" t="s">
        <v>146</v>
      </c>
      <c r="D18" s="10" t="s">
        <v>74</v>
      </c>
      <c r="E18" s="10" t="s">
        <v>147</v>
      </c>
      <c r="F18" s="10" t="s">
        <v>97</v>
      </c>
      <c r="G18" s="10" t="s">
        <v>98</v>
      </c>
      <c r="H18" s="10"/>
      <c r="I18" s="10" t="s">
        <v>44</v>
      </c>
      <c r="J18" s="10" t="s">
        <v>107</v>
      </c>
      <c r="K18" s="10" t="s">
        <v>148</v>
      </c>
      <c r="L18" s="10"/>
      <c r="M18" s="10"/>
      <c r="N18" s="10"/>
      <c r="O18" s="10" t="s">
        <v>142</v>
      </c>
      <c r="P18" s="10" t="s">
        <v>149</v>
      </c>
    </row>
    <row r="19" customFormat="false" ht="82.5" hidden="false" customHeight="true" outlineLevel="0" collapsed="false">
      <c r="A19" s="10" t="s">
        <v>150</v>
      </c>
      <c r="B19" s="10" t="s">
        <v>151</v>
      </c>
      <c r="C19" s="10" t="s">
        <v>152</v>
      </c>
      <c r="D19" s="10" t="s">
        <v>55</v>
      </c>
      <c r="E19" s="10"/>
      <c r="F19" s="10" t="s">
        <v>97</v>
      </c>
      <c r="G19" s="10" t="s">
        <v>98</v>
      </c>
      <c r="H19" s="10"/>
      <c r="I19" s="10" t="s">
        <v>44</v>
      </c>
      <c r="J19" s="10" t="s">
        <v>153</v>
      </c>
      <c r="K19" s="10" t="s">
        <v>154</v>
      </c>
      <c r="L19" s="10"/>
      <c r="M19" s="10"/>
      <c r="N19" s="10" t="s">
        <v>75</v>
      </c>
      <c r="O19" s="10" t="s">
        <v>155</v>
      </c>
      <c r="P19" s="10" t="s">
        <v>156</v>
      </c>
    </row>
    <row r="20" customFormat="false" ht="44.25" hidden="false" customHeight="true" outlineLevel="0" collapsed="false">
      <c r="A20" s="10" t="s">
        <v>157</v>
      </c>
      <c r="B20" s="10" t="s">
        <v>158</v>
      </c>
      <c r="C20" s="10" t="s">
        <v>159</v>
      </c>
      <c r="D20" s="10" t="s">
        <v>39</v>
      </c>
      <c r="E20" s="10" t="s">
        <v>160</v>
      </c>
      <c r="F20" s="10" t="s">
        <v>161</v>
      </c>
      <c r="G20" s="10" t="s">
        <v>42</v>
      </c>
      <c r="H20" s="10"/>
      <c r="I20" s="10" t="s">
        <v>44</v>
      </c>
      <c r="J20" s="10" t="s">
        <v>107</v>
      </c>
      <c r="K20" s="10" t="s">
        <v>132</v>
      </c>
      <c r="L20" s="10" t="s">
        <v>114</v>
      </c>
      <c r="M20" s="10"/>
      <c r="N20" s="10"/>
      <c r="O20" s="10" t="s">
        <v>155</v>
      </c>
      <c r="P20" s="10" t="s">
        <v>162</v>
      </c>
    </row>
    <row r="21" customFormat="false" ht="44.25" hidden="false" customHeight="true" outlineLevel="0" collapsed="false">
      <c r="A21" s="10" t="s">
        <v>163</v>
      </c>
      <c r="B21" s="10" t="s">
        <v>164</v>
      </c>
      <c r="C21" s="10" t="s">
        <v>165</v>
      </c>
      <c r="D21" s="10" t="s">
        <v>39</v>
      </c>
      <c r="E21" s="10" t="s">
        <v>166</v>
      </c>
      <c r="F21" s="10" t="s">
        <v>167</v>
      </c>
      <c r="G21" s="10" t="s">
        <v>98</v>
      </c>
      <c r="H21" s="10"/>
      <c r="I21" s="10" t="s">
        <v>44</v>
      </c>
      <c r="J21" s="10" t="s">
        <v>107</v>
      </c>
      <c r="K21" s="10" t="s">
        <v>132</v>
      </c>
      <c r="L21" s="10"/>
      <c r="M21" s="10"/>
      <c r="N21" s="10" t="s">
        <v>75</v>
      </c>
      <c r="O21" s="10" t="s">
        <v>155</v>
      </c>
      <c r="P21" s="10" t="s">
        <v>168</v>
      </c>
    </row>
    <row r="22" customFormat="false" ht="44.25" hidden="false" customHeight="true" outlineLevel="0" collapsed="false">
      <c r="A22" s="10" t="s">
        <v>169</v>
      </c>
      <c r="B22" s="10" t="s">
        <v>170</v>
      </c>
      <c r="C22" s="10" t="s">
        <v>171</v>
      </c>
      <c r="D22" s="10" t="s">
        <v>95</v>
      </c>
      <c r="E22" s="10"/>
      <c r="F22" s="10" t="s">
        <v>167</v>
      </c>
      <c r="G22" s="10" t="s">
        <v>42</v>
      </c>
      <c r="H22" s="10"/>
      <c r="I22" s="10" t="s">
        <v>44</v>
      </c>
      <c r="J22" s="10" t="s">
        <v>107</v>
      </c>
      <c r="K22" s="10" t="s">
        <v>132</v>
      </c>
      <c r="L22" s="10" t="s">
        <v>74</v>
      </c>
      <c r="M22" s="10"/>
      <c r="N22" s="10"/>
      <c r="O22" s="10" t="s">
        <v>155</v>
      </c>
      <c r="P22" s="10" t="s">
        <v>172</v>
      </c>
    </row>
    <row r="23" customFormat="false" ht="57" hidden="false" customHeight="true" outlineLevel="0" collapsed="false">
      <c r="A23" s="10" t="s">
        <v>173</v>
      </c>
      <c r="B23" s="10" t="s">
        <v>174</v>
      </c>
      <c r="C23" s="10" t="s">
        <v>175</v>
      </c>
      <c r="D23" s="10" t="s">
        <v>39</v>
      </c>
      <c r="E23" s="10" t="s">
        <v>176</v>
      </c>
      <c r="F23" s="10" t="s">
        <v>57</v>
      </c>
      <c r="G23" s="10" t="s">
        <v>98</v>
      </c>
      <c r="H23" s="10"/>
      <c r="I23" s="10" t="s">
        <v>44</v>
      </c>
      <c r="J23" s="10" t="s">
        <v>126</v>
      </c>
      <c r="K23" s="10" t="s">
        <v>132</v>
      </c>
      <c r="L23" s="10"/>
      <c r="M23" s="10"/>
      <c r="N23" s="10" t="s">
        <v>75</v>
      </c>
      <c r="O23" s="10" t="s">
        <v>155</v>
      </c>
      <c r="P23" s="10" t="s">
        <v>177</v>
      </c>
    </row>
    <row r="24" customFormat="false" ht="69.75" hidden="false" customHeight="true" outlineLevel="0" collapsed="false">
      <c r="A24" s="10" t="s">
        <v>178</v>
      </c>
      <c r="B24" s="10" t="s">
        <v>179</v>
      </c>
      <c r="C24" s="10" t="s">
        <v>180</v>
      </c>
      <c r="D24" s="10" t="s">
        <v>55</v>
      </c>
      <c r="E24" s="10"/>
      <c r="F24" s="10" t="s">
        <v>57</v>
      </c>
      <c r="G24" s="10" t="s">
        <v>98</v>
      </c>
      <c r="H24" s="10"/>
      <c r="I24" s="10" t="s">
        <v>44</v>
      </c>
      <c r="J24" s="10" t="s">
        <v>181</v>
      </c>
      <c r="K24" s="10" t="s">
        <v>182</v>
      </c>
      <c r="L24" s="10" t="s">
        <v>74</v>
      </c>
      <c r="M24" s="10"/>
      <c r="N24" s="10"/>
      <c r="O24" s="10" t="s">
        <v>155</v>
      </c>
      <c r="P24" s="10" t="s">
        <v>183</v>
      </c>
    </row>
    <row r="25" customFormat="false" ht="57" hidden="false" customHeight="true" outlineLevel="0" collapsed="false">
      <c r="A25" s="10" t="s">
        <v>184</v>
      </c>
      <c r="B25" s="10" t="s">
        <v>185</v>
      </c>
      <c r="C25" s="10" t="s">
        <v>165</v>
      </c>
      <c r="D25" s="10" t="s">
        <v>39</v>
      </c>
      <c r="E25" s="10"/>
      <c r="F25" s="10" t="s">
        <v>57</v>
      </c>
      <c r="G25" s="10" t="s">
        <v>98</v>
      </c>
      <c r="H25" s="10"/>
      <c r="I25" s="10" t="s">
        <v>44</v>
      </c>
      <c r="J25" s="10" t="s">
        <v>153</v>
      </c>
      <c r="K25" s="10" t="s">
        <v>182</v>
      </c>
      <c r="L25" s="10" t="s">
        <v>47</v>
      </c>
      <c r="M25" s="10"/>
      <c r="N25" s="10" t="s">
        <v>75</v>
      </c>
      <c r="O25" s="10" t="s">
        <v>155</v>
      </c>
      <c r="P25" s="10" t="s">
        <v>186</v>
      </c>
    </row>
    <row r="26" customFormat="false" ht="44.25" hidden="false" customHeight="true" outlineLevel="0" collapsed="false">
      <c r="A26" s="10" t="s">
        <v>187</v>
      </c>
      <c r="B26" s="10" t="s">
        <v>188</v>
      </c>
      <c r="C26" s="10" t="s">
        <v>189</v>
      </c>
      <c r="D26" s="10" t="s">
        <v>55</v>
      </c>
      <c r="E26" s="10"/>
      <c r="F26" s="10" t="s">
        <v>167</v>
      </c>
      <c r="G26" s="10" t="s">
        <v>98</v>
      </c>
      <c r="H26" s="10"/>
      <c r="I26" s="10" t="s">
        <v>190</v>
      </c>
      <c r="J26" s="10" t="s">
        <v>191</v>
      </c>
      <c r="K26" s="10" t="s">
        <v>192</v>
      </c>
      <c r="L26" s="10" t="s">
        <v>74</v>
      </c>
      <c r="M26" s="10"/>
      <c r="N26" s="10"/>
      <c r="O26" s="10" t="s">
        <v>155</v>
      </c>
      <c r="P26" s="10" t="s">
        <v>193</v>
      </c>
    </row>
    <row r="27" customFormat="false" ht="44.25" hidden="false" customHeight="true" outlineLevel="0" collapsed="false">
      <c r="A27" s="10" t="s">
        <v>194</v>
      </c>
      <c r="B27" s="10" t="s">
        <v>195</v>
      </c>
      <c r="C27" s="10" t="s">
        <v>196</v>
      </c>
      <c r="D27" s="10" t="s">
        <v>39</v>
      </c>
      <c r="E27" s="10"/>
      <c r="F27" s="10" t="s">
        <v>57</v>
      </c>
      <c r="G27" s="10" t="s">
        <v>98</v>
      </c>
      <c r="H27" s="10"/>
      <c r="I27" s="10" t="s">
        <v>190</v>
      </c>
      <c r="J27" s="10" t="s">
        <v>107</v>
      </c>
      <c r="K27" s="10" t="s">
        <v>132</v>
      </c>
      <c r="L27" s="10" t="s">
        <v>74</v>
      </c>
      <c r="M27" s="10"/>
      <c r="N27" s="10" t="s">
        <v>84</v>
      </c>
      <c r="O27" s="10" t="s">
        <v>155</v>
      </c>
      <c r="P27" s="10" t="s">
        <v>197</v>
      </c>
    </row>
    <row r="28" customFormat="false" ht="57" hidden="false" customHeight="true" outlineLevel="0" collapsed="false">
      <c r="A28" s="10" t="s">
        <v>198</v>
      </c>
      <c r="B28" s="10" t="s">
        <v>199</v>
      </c>
      <c r="C28" s="10" t="s">
        <v>200</v>
      </c>
      <c r="D28" s="10" t="s">
        <v>74</v>
      </c>
      <c r="E28" s="10" t="s">
        <v>201</v>
      </c>
      <c r="F28" s="10" t="s">
        <v>97</v>
      </c>
      <c r="G28" s="10" t="s">
        <v>98</v>
      </c>
      <c r="H28" s="10"/>
      <c r="I28" s="10" t="s">
        <v>190</v>
      </c>
      <c r="J28" s="10" t="s">
        <v>107</v>
      </c>
      <c r="K28" s="10" t="s">
        <v>202</v>
      </c>
      <c r="L28" s="10" t="s">
        <v>47</v>
      </c>
      <c r="M28" s="10"/>
      <c r="N28" s="10" t="s">
        <v>75</v>
      </c>
      <c r="O28" s="10" t="s">
        <v>142</v>
      </c>
      <c r="P28" s="10" t="s">
        <v>203</v>
      </c>
    </row>
    <row r="29" customFormat="false" ht="14.2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customFormat="false" ht="14.2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customFormat="false" ht="14.2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customFormat="false" ht="14.2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customFormat="false" ht="14.2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customFormat="false" ht="14.2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customFormat="false" ht="14.2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customFormat="false" ht="14.2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customFormat="false" ht="14.2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customFormat="false" ht="14.2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customFormat="false" ht="14.2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customFormat="false" ht="14.2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customFormat="false" ht="14.2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customFormat="false" ht="14.2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customFormat="false" ht="14.2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customFormat="false" ht="14.2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</sheetData>
  <dataValidations count="6">
    <dataValidation allowBlank="true" error="Elijan una opción de la lista" errorStyle="stop" operator="between" showDropDown="false" showErrorMessage="false" showInputMessage="false" sqref="D5:D44" type="list">
      <formula1>"Entidad pública,Academia u ONG,Plataforma colaborativa,Empresa privada,Medio de comunicación,No se sabe"</formula1>
      <formula2>0</formula2>
    </dataValidation>
    <dataValidation allowBlank="true" error="Elijan una opción de la lista" errorStyle="stop" operator="between" showDropDown="false" showErrorMessage="false" showInputMessage="false" sqref="F5:F44" type="list">
      <formula1>"CSV,JSON,XLSX,Parquet,GeoJSON,Shapefile,PDF,Página web,Otro"</formula1>
      <formula2>0</formula2>
    </dataValidation>
    <dataValidation allowBlank="true" error="Elijan una opción de la lista" errorStyle="stop" operator="between" showDropDown="false" showErrorMessage="false" showInputMessage="false" sqref="G5:G44" type="list">
      <formula1>"API sin llave,API con llave gratuita,Descarga directa,Solo PDF o página,Bloquea scripts o pide sesión"</formula1>
      <formula2>0</formula2>
    </dataValidation>
    <dataValidation allowBlank="true" error="Elijan una opción de la lista" errorStyle="stop" operator="between" showDropDown="false" showErrorMessage="false" showInputMessage="false" sqref="I5:I44" type="list">
      <formula1>"No,Solo conteos por zona,Personas identificables,Texto libre sin revisar"</formula1>
      <formula2>0</formula2>
    </dataValidation>
    <dataValidation allowBlank="true" error="Elijan una opción de la lista" errorStyle="stop" operator="between" showDropDown="false" showErrorMessage="false" showInputMessage="false" sqref="L5:L44" type="list">
      <formula1>"Tiempo real,Diaria,Mensual,Trimestral,Anual,Única vez,No se sabe"</formula1>
      <formula2>0</formula2>
    </dataValidation>
    <dataValidation allowBlank="true" error="Elijan una opción de la lista" errorStyle="stop" operator="between" showDropDown="false" showErrorMessage="false" showInputMessage="false" sqref="N5:N44" type="list">
      <formula1>"Integrada al lago,Candidata,No responde,No existe (la inventó la IA),Descartada"</formula1>
      <formula2>0</formula2>
    </dataValidation>
  </dataValidations>
  <hyperlinks>
    <hyperlink ref="E5" r:id="rId1" display="https://sig.govern.ad/Sigdde.Public/Inici"/>
    <hyperlink ref="E6" r:id="rId2" display="https://www.indomio.es/en/mercado-inmobiliario/andorra/andorra-provincia/"/>
    <hyperlink ref="E7" r:id="rId3" display="https://overpass-api.de/api/interpreter&#10;https://download.geofabrik.de/europe/andorra.html"/>
    <hyperlink ref="E8" r:id="rId4" display="https://sig.govern.ad/Sigdde.Public/estadistiquesdades/api/data"/>
    <hyperlink ref="E9" r:id="rId5" display="https://sig.govern.ad/Sigdde.Public/estadistiquesdades/api/data"/>
    <hyperlink ref="E10" r:id="rId6" display="https://www.agia.ad/&#10;https://digitalandorra.com/economia/el-preu-de-lhabitatge-continua-disparat-a-andorra-mentre-loferta-de-lloguer-gairebe-es-duplica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777343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3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22"/>
    <col collapsed="false" customWidth="true" hidden="false" outlineLevel="0" max="11" min="11" style="0" width="16"/>
    <col collapsed="false" customWidth="true" hidden="false" outlineLevel="0" max="12" min="12" style="0" width="28"/>
    <col collapsed="false" customWidth="true" hidden="false" outlineLevel="0" max="13" min="13" style="0" width="32"/>
  </cols>
  <sheetData>
    <row r="1" customFormat="false" ht="18" hidden="false" customHeight="true" outlineLevel="0" collapsed="false">
      <c r="A1" s="6" t="s">
        <v>204</v>
      </c>
    </row>
    <row r="2" customFormat="false" ht="14.25" hidden="false" customHeight="false" outlineLevel="0" collapsed="false">
      <c r="A2" s="7" t="s">
        <v>205</v>
      </c>
    </row>
    <row r="3" customFormat="false" ht="42" hidden="false" customHeight="true" outlineLevel="0" collapsed="false">
      <c r="A3" s="8" t="s">
        <v>20</v>
      </c>
      <c r="B3" s="8" t="s">
        <v>206</v>
      </c>
      <c r="C3" s="8" t="s">
        <v>207</v>
      </c>
      <c r="D3" s="8" t="s">
        <v>208</v>
      </c>
      <c r="E3" s="8" t="s">
        <v>209</v>
      </c>
      <c r="F3" s="8" t="s">
        <v>210</v>
      </c>
      <c r="G3" s="8" t="s">
        <v>211</v>
      </c>
      <c r="H3" s="8" t="s">
        <v>212</v>
      </c>
      <c r="I3" s="8" t="s">
        <v>213</v>
      </c>
      <c r="J3" s="8" t="s">
        <v>214</v>
      </c>
      <c r="K3" s="8" t="s">
        <v>215</v>
      </c>
      <c r="L3" s="8" t="s">
        <v>216</v>
      </c>
      <c r="M3" s="8" t="s">
        <v>217</v>
      </c>
    </row>
    <row r="4" customFormat="false" ht="39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57" hidden="false" customHeight="true" outlineLevel="0" collapsed="false">
      <c r="A5" s="10" t="s">
        <v>36</v>
      </c>
      <c r="B5" s="10" t="s">
        <v>218</v>
      </c>
      <c r="C5" s="10" t="s">
        <v>219</v>
      </c>
      <c r="D5" s="10" t="s">
        <v>220</v>
      </c>
      <c r="E5" s="10" t="s">
        <v>221</v>
      </c>
      <c r="F5" s="10" t="s">
        <v>222</v>
      </c>
      <c r="G5" s="10" t="s">
        <v>223</v>
      </c>
      <c r="H5" s="10" t="s">
        <v>224</v>
      </c>
      <c r="I5" s="10" t="s">
        <v>44</v>
      </c>
      <c r="J5" s="10" t="s">
        <v>225</v>
      </c>
      <c r="K5" s="10" t="s">
        <v>226</v>
      </c>
      <c r="L5" s="10" t="s">
        <v>227</v>
      </c>
      <c r="M5" s="10" t="s">
        <v>228</v>
      </c>
    </row>
    <row r="6" customFormat="false" ht="44.25" hidden="false" customHeight="true" outlineLevel="0" collapsed="false">
      <c r="A6" s="10" t="s">
        <v>36</v>
      </c>
      <c r="B6" s="10" t="s">
        <v>218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10" t="s">
        <v>234</v>
      </c>
      <c r="I6" s="10" t="s">
        <v>44</v>
      </c>
      <c r="J6" s="10" t="s">
        <v>46</v>
      </c>
      <c r="K6" s="10" t="s">
        <v>226</v>
      </c>
      <c r="L6" s="10" t="s">
        <v>235</v>
      </c>
      <c r="M6" s="10" t="s">
        <v>236</v>
      </c>
    </row>
    <row r="7" customFormat="false" ht="44.25" hidden="false" customHeight="true" outlineLevel="0" collapsed="false">
      <c r="A7" s="10" t="s">
        <v>36</v>
      </c>
      <c r="B7" s="10" t="s">
        <v>218</v>
      </c>
      <c r="C7" s="10" t="s">
        <v>237</v>
      </c>
      <c r="D7" s="10" t="s">
        <v>238</v>
      </c>
      <c r="E7" s="10" t="s">
        <v>239</v>
      </c>
      <c r="F7" s="10" t="s">
        <v>232</v>
      </c>
      <c r="G7" s="10" t="s">
        <v>240</v>
      </c>
      <c r="H7" s="10" t="s">
        <v>241</v>
      </c>
      <c r="I7" s="10" t="s">
        <v>44</v>
      </c>
      <c r="J7" s="10" t="s">
        <v>242</v>
      </c>
      <c r="K7" s="10" t="s">
        <v>226</v>
      </c>
      <c r="L7" s="10" t="s">
        <v>243</v>
      </c>
      <c r="M7" s="10" t="s">
        <v>244</v>
      </c>
    </row>
    <row r="8" customFormat="false" ht="57" hidden="false" customHeight="true" outlineLevel="0" collapsed="false">
      <c r="A8" s="10" t="s">
        <v>36</v>
      </c>
      <c r="B8" s="10" t="s">
        <v>218</v>
      </c>
      <c r="C8" s="10" t="s">
        <v>245</v>
      </c>
      <c r="D8" s="10" t="s">
        <v>246</v>
      </c>
      <c r="E8" s="10" t="s">
        <v>247</v>
      </c>
      <c r="F8" s="10" t="s">
        <v>222</v>
      </c>
      <c r="G8" s="10" t="s">
        <v>248</v>
      </c>
      <c r="H8" s="10" t="s">
        <v>249</v>
      </c>
      <c r="I8" s="10" t="s">
        <v>44</v>
      </c>
      <c r="J8" s="10" t="s">
        <v>250</v>
      </c>
      <c r="K8" s="10" t="s">
        <v>226</v>
      </c>
      <c r="L8" s="10" t="s">
        <v>251</v>
      </c>
      <c r="M8" s="10" t="s">
        <v>252</v>
      </c>
    </row>
    <row r="9" customFormat="false" ht="31.5" hidden="false" customHeight="true" outlineLevel="0" collapsed="false">
      <c r="A9" s="10" t="s">
        <v>36</v>
      </c>
      <c r="B9" s="10" t="s">
        <v>218</v>
      </c>
      <c r="C9" s="10" t="s">
        <v>253</v>
      </c>
      <c r="D9" s="10" t="s">
        <v>246</v>
      </c>
      <c r="E9" s="10" t="s">
        <v>254</v>
      </c>
      <c r="F9" s="10" t="s">
        <v>222</v>
      </c>
      <c r="G9" s="10" t="s">
        <v>233</v>
      </c>
      <c r="H9" s="10" t="s">
        <v>234</v>
      </c>
      <c r="I9" s="10" t="s">
        <v>44</v>
      </c>
      <c r="J9" s="10" t="s">
        <v>46</v>
      </c>
      <c r="K9" s="10" t="s">
        <v>226</v>
      </c>
      <c r="L9" s="10" t="s">
        <v>255</v>
      </c>
      <c r="M9" s="10" t="s">
        <v>256</v>
      </c>
    </row>
    <row r="10" customFormat="false" ht="31.5" hidden="false" customHeight="true" outlineLevel="0" collapsed="false">
      <c r="A10" s="10" t="s">
        <v>36</v>
      </c>
      <c r="B10" s="10" t="s">
        <v>218</v>
      </c>
      <c r="C10" s="10" t="s">
        <v>257</v>
      </c>
      <c r="D10" s="10" t="s">
        <v>246</v>
      </c>
      <c r="E10" s="10" t="s">
        <v>258</v>
      </c>
      <c r="F10" s="10" t="s">
        <v>259</v>
      </c>
      <c r="G10" s="10" t="s">
        <v>260</v>
      </c>
      <c r="H10" s="10" t="s">
        <v>48</v>
      </c>
      <c r="I10" s="10" t="s">
        <v>44</v>
      </c>
      <c r="J10" s="10" t="s">
        <v>261</v>
      </c>
      <c r="K10" s="10" t="s">
        <v>226</v>
      </c>
      <c r="L10" s="10" t="s">
        <v>262</v>
      </c>
      <c r="M10" s="10" t="s">
        <v>263</v>
      </c>
    </row>
    <row r="11" customFormat="false" ht="31.5" hidden="false" customHeight="true" outlineLevel="0" collapsed="false">
      <c r="A11" s="10" t="s">
        <v>36</v>
      </c>
      <c r="B11" s="10" t="s">
        <v>218</v>
      </c>
      <c r="C11" s="10" t="s">
        <v>264</v>
      </c>
      <c r="D11" s="10" t="s">
        <v>246</v>
      </c>
      <c r="E11" s="10" t="s">
        <v>265</v>
      </c>
      <c r="F11" s="10" t="s">
        <v>222</v>
      </c>
      <c r="G11" s="10" t="s">
        <v>266</v>
      </c>
      <c r="H11" s="10" t="s">
        <v>267</v>
      </c>
      <c r="I11" s="10" t="s">
        <v>44</v>
      </c>
      <c r="J11" s="10" t="s">
        <v>268</v>
      </c>
      <c r="K11" s="10" t="s">
        <v>226</v>
      </c>
      <c r="L11" s="10" t="s">
        <v>269</v>
      </c>
      <c r="M11" s="10" t="s">
        <v>270</v>
      </c>
    </row>
    <row r="12" customFormat="false" ht="57" hidden="false" customHeight="true" outlineLevel="0" collapsed="false">
      <c r="A12" s="10" t="s">
        <v>52</v>
      </c>
      <c r="B12" s="10" t="s">
        <v>271</v>
      </c>
      <c r="C12" s="10" t="s">
        <v>219</v>
      </c>
      <c r="D12" s="10" t="s">
        <v>272</v>
      </c>
      <c r="E12" s="10" t="s">
        <v>273</v>
      </c>
      <c r="F12" s="10" t="s">
        <v>222</v>
      </c>
      <c r="G12" s="10" t="s">
        <v>223</v>
      </c>
      <c r="H12" s="10" t="s">
        <v>126</v>
      </c>
      <c r="I12" s="10" t="s">
        <v>44</v>
      </c>
      <c r="J12" s="10" t="s">
        <v>225</v>
      </c>
      <c r="K12" s="10" t="s">
        <v>226</v>
      </c>
      <c r="L12" s="10" t="s">
        <v>274</v>
      </c>
      <c r="M12" s="10" t="s">
        <v>275</v>
      </c>
    </row>
    <row r="13" customFormat="false" ht="44.25" hidden="false" customHeight="true" outlineLevel="0" collapsed="false">
      <c r="A13" s="10" t="s">
        <v>52</v>
      </c>
      <c r="B13" s="10" t="s">
        <v>271</v>
      </c>
      <c r="C13" s="10" t="s">
        <v>276</v>
      </c>
      <c r="D13" s="10" t="s">
        <v>277</v>
      </c>
      <c r="E13" s="10" t="s">
        <v>278</v>
      </c>
      <c r="F13" s="10" t="s">
        <v>279</v>
      </c>
      <c r="G13" s="10" t="s">
        <v>280</v>
      </c>
      <c r="H13" s="10" t="s">
        <v>281</v>
      </c>
      <c r="I13" s="10" t="s">
        <v>282</v>
      </c>
      <c r="J13" s="10" t="s">
        <v>242</v>
      </c>
      <c r="K13" s="10" t="s">
        <v>226</v>
      </c>
      <c r="L13" s="10" t="s">
        <v>283</v>
      </c>
      <c r="M13" s="10" t="s">
        <v>284</v>
      </c>
    </row>
    <row r="14" customFormat="false" ht="57" hidden="false" customHeight="true" outlineLevel="0" collapsed="false">
      <c r="A14" s="10" t="s">
        <v>52</v>
      </c>
      <c r="B14" s="10" t="s">
        <v>271</v>
      </c>
      <c r="C14" s="10" t="s">
        <v>285</v>
      </c>
      <c r="D14" s="10" t="s">
        <v>286</v>
      </c>
      <c r="E14" s="10" t="s">
        <v>287</v>
      </c>
      <c r="F14" s="10" t="s">
        <v>279</v>
      </c>
      <c r="G14" s="10" t="s">
        <v>288</v>
      </c>
      <c r="H14" s="10" t="s">
        <v>289</v>
      </c>
      <c r="I14" s="10" t="s">
        <v>282</v>
      </c>
      <c r="J14" s="10" t="s">
        <v>290</v>
      </c>
      <c r="K14" s="10" t="s">
        <v>226</v>
      </c>
      <c r="L14" s="10" t="s">
        <v>291</v>
      </c>
      <c r="M14" s="10" t="s">
        <v>292</v>
      </c>
    </row>
    <row r="15" customFormat="false" ht="57" hidden="false" customHeight="true" outlineLevel="0" collapsed="false">
      <c r="A15" s="10" t="s">
        <v>52</v>
      </c>
      <c r="B15" s="10" t="s">
        <v>271</v>
      </c>
      <c r="C15" s="10" t="s">
        <v>293</v>
      </c>
      <c r="D15" s="10" t="s">
        <v>294</v>
      </c>
      <c r="E15" s="10" t="s">
        <v>295</v>
      </c>
      <c r="F15" s="10" t="s">
        <v>279</v>
      </c>
      <c r="G15" s="10" t="s">
        <v>296</v>
      </c>
      <c r="H15" s="10" t="s">
        <v>297</v>
      </c>
      <c r="I15" s="10" t="s">
        <v>282</v>
      </c>
      <c r="J15" s="10" t="s">
        <v>242</v>
      </c>
      <c r="K15" s="10" t="s">
        <v>226</v>
      </c>
      <c r="L15" s="10" t="s">
        <v>298</v>
      </c>
      <c r="M15" s="10" t="s">
        <v>299</v>
      </c>
    </row>
    <row r="16" customFormat="false" ht="44.25" hidden="false" customHeight="true" outlineLevel="0" collapsed="false">
      <c r="A16" s="10" t="s">
        <v>52</v>
      </c>
      <c r="B16" s="10" t="s">
        <v>271</v>
      </c>
      <c r="C16" s="10" t="s">
        <v>300</v>
      </c>
      <c r="D16" s="10" t="s">
        <v>301</v>
      </c>
      <c r="E16" s="10" t="s">
        <v>302</v>
      </c>
      <c r="F16" s="10" t="s">
        <v>279</v>
      </c>
      <c r="G16" s="10" t="s">
        <v>288</v>
      </c>
      <c r="H16" s="10" t="s">
        <v>303</v>
      </c>
      <c r="I16" s="10" t="s">
        <v>282</v>
      </c>
      <c r="J16" s="10" t="s">
        <v>290</v>
      </c>
      <c r="K16" s="10" t="s">
        <v>226</v>
      </c>
      <c r="L16" s="10" t="s">
        <v>304</v>
      </c>
      <c r="M16" s="10" t="s">
        <v>305</v>
      </c>
    </row>
    <row r="17" customFormat="false" ht="44.25" hidden="false" customHeight="true" outlineLevel="0" collapsed="false">
      <c r="A17" s="10" t="s">
        <v>52</v>
      </c>
      <c r="B17" s="10" t="s">
        <v>271</v>
      </c>
      <c r="C17" s="10" t="s">
        <v>245</v>
      </c>
      <c r="D17" s="10" t="s">
        <v>246</v>
      </c>
      <c r="E17" s="10" t="s">
        <v>306</v>
      </c>
      <c r="F17" s="10" t="s">
        <v>222</v>
      </c>
      <c r="G17" s="10" t="s">
        <v>248</v>
      </c>
      <c r="H17" s="10" t="s">
        <v>307</v>
      </c>
      <c r="I17" s="10" t="s">
        <v>44</v>
      </c>
      <c r="J17" s="10" t="s">
        <v>250</v>
      </c>
      <c r="K17" s="10" t="s">
        <v>226</v>
      </c>
      <c r="L17" s="10" t="s">
        <v>308</v>
      </c>
      <c r="M17" s="10" t="s">
        <v>309</v>
      </c>
    </row>
    <row r="18" customFormat="false" ht="31.5" hidden="false" customHeight="true" outlineLevel="0" collapsed="false">
      <c r="A18" s="10" t="s">
        <v>52</v>
      </c>
      <c r="B18" s="10" t="s">
        <v>271</v>
      </c>
      <c r="C18" s="10" t="s">
        <v>253</v>
      </c>
      <c r="D18" s="10" t="s">
        <v>246</v>
      </c>
      <c r="E18" s="10" t="s">
        <v>310</v>
      </c>
      <c r="F18" s="10" t="s">
        <v>222</v>
      </c>
      <c r="G18" s="10" t="s">
        <v>233</v>
      </c>
      <c r="H18" s="10" t="s">
        <v>182</v>
      </c>
      <c r="I18" s="10" t="s">
        <v>44</v>
      </c>
      <c r="J18" s="10" t="s">
        <v>311</v>
      </c>
      <c r="K18" s="10" t="s">
        <v>226</v>
      </c>
      <c r="L18" s="10" t="s">
        <v>312</v>
      </c>
      <c r="M18" s="10" t="s">
        <v>313</v>
      </c>
    </row>
    <row r="19" customFormat="false" ht="57" hidden="false" customHeight="true" outlineLevel="0" collapsed="false">
      <c r="A19" s="10" t="s">
        <v>52</v>
      </c>
      <c r="B19" s="10" t="s">
        <v>271</v>
      </c>
      <c r="C19" s="10" t="s">
        <v>257</v>
      </c>
      <c r="D19" s="10" t="s">
        <v>246</v>
      </c>
      <c r="E19" s="10" t="s">
        <v>314</v>
      </c>
      <c r="F19" s="10" t="s">
        <v>259</v>
      </c>
      <c r="G19" s="10" t="s">
        <v>260</v>
      </c>
      <c r="H19" s="10" t="s">
        <v>48</v>
      </c>
      <c r="I19" s="10" t="s">
        <v>44</v>
      </c>
      <c r="J19" s="10" t="s">
        <v>261</v>
      </c>
      <c r="K19" s="10" t="s">
        <v>226</v>
      </c>
      <c r="L19" s="10" t="s">
        <v>315</v>
      </c>
      <c r="M19" s="10" t="s">
        <v>316</v>
      </c>
    </row>
    <row r="20" customFormat="false" ht="44.25" hidden="false" customHeight="true" outlineLevel="0" collapsed="false">
      <c r="A20" s="10" t="s">
        <v>52</v>
      </c>
      <c r="B20" s="10" t="s">
        <v>271</v>
      </c>
      <c r="C20" s="10" t="s">
        <v>264</v>
      </c>
      <c r="D20" s="10" t="s">
        <v>246</v>
      </c>
      <c r="E20" s="10" t="s">
        <v>317</v>
      </c>
      <c r="F20" s="10" t="s">
        <v>222</v>
      </c>
      <c r="G20" s="10" t="s">
        <v>266</v>
      </c>
      <c r="H20" s="10" t="s">
        <v>318</v>
      </c>
      <c r="I20" s="10" t="s">
        <v>44</v>
      </c>
      <c r="J20" s="10" t="s">
        <v>268</v>
      </c>
      <c r="K20" s="10" t="s">
        <v>226</v>
      </c>
      <c r="L20" s="10" t="s">
        <v>319</v>
      </c>
      <c r="M20" s="10" t="s">
        <v>320</v>
      </c>
    </row>
    <row r="21" customFormat="false" ht="44.25" hidden="false" customHeight="true" outlineLevel="0" collapsed="false">
      <c r="A21" s="10" t="s">
        <v>52</v>
      </c>
      <c r="B21" s="10" t="s">
        <v>321</v>
      </c>
      <c r="C21" s="10" t="s">
        <v>322</v>
      </c>
      <c r="D21" s="10" t="s">
        <v>323</v>
      </c>
      <c r="E21" s="10" t="s">
        <v>324</v>
      </c>
      <c r="F21" s="10" t="s">
        <v>222</v>
      </c>
      <c r="G21" s="10" t="s">
        <v>325</v>
      </c>
      <c r="H21" s="10" t="s">
        <v>326</v>
      </c>
      <c r="I21" s="10" t="s">
        <v>44</v>
      </c>
      <c r="J21" s="10" t="s">
        <v>327</v>
      </c>
      <c r="K21" s="10" t="s">
        <v>226</v>
      </c>
      <c r="L21" s="10" t="s">
        <v>328</v>
      </c>
      <c r="M21" s="10" t="s">
        <v>329</v>
      </c>
    </row>
    <row r="22" customFormat="false" ht="31.5" hidden="false" customHeight="true" outlineLevel="0" collapsed="false">
      <c r="A22" s="10" t="s">
        <v>52</v>
      </c>
      <c r="B22" s="10" t="s">
        <v>321</v>
      </c>
      <c r="C22" s="10" t="s">
        <v>330</v>
      </c>
      <c r="D22" s="10" t="s">
        <v>331</v>
      </c>
      <c r="E22" s="10" t="s">
        <v>332</v>
      </c>
      <c r="F22" s="10" t="s">
        <v>222</v>
      </c>
      <c r="G22" s="10" t="s">
        <v>325</v>
      </c>
      <c r="H22" s="10" t="s">
        <v>333</v>
      </c>
      <c r="I22" s="10" t="s">
        <v>44</v>
      </c>
      <c r="J22" s="10" t="s">
        <v>334</v>
      </c>
      <c r="K22" s="10" t="s">
        <v>226</v>
      </c>
      <c r="L22" s="10" t="s">
        <v>335</v>
      </c>
      <c r="M22" s="10" t="s">
        <v>329</v>
      </c>
    </row>
    <row r="23" customFormat="false" ht="31.5" hidden="false" customHeight="true" outlineLevel="0" collapsed="false">
      <c r="A23" s="10" t="s">
        <v>64</v>
      </c>
      <c r="B23" s="10" t="s">
        <v>336</v>
      </c>
      <c r="C23" s="10" t="s">
        <v>337</v>
      </c>
      <c r="D23" s="10" t="s">
        <v>338</v>
      </c>
      <c r="E23" s="10" t="s">
        <v>339</v>
      </c>
      <c r="F23" s="10" t="s">
        <v>340</v>
      </c>
      <c r="G23" s="10" t="s">
        <v>325</v>
      </c>
      <c r="H23" s="10" t="n">
        <v>123456789</v>
      </c>
      <c r="I23" s="10" t="s">
        <v>44</v>
      </c>
      <c r="J23" s="10" t="s">
        <v>341</v>
      </c>
      <c r="K23" s="10" t="s">
        <v>226</v>
      </c>
      <c r="L23" s="10" t="s">
        <v>342</v>
      </c>
      <c r="M23" s="10" t="s">
        <v>343</v>
      </c>
    </row>
    <row r="24" customFormat="false" ht="57" hidden="false" customHeight="true" outlineLevel="0" collapsed="false">
      <c r="A24" s="10" t="s">
        <v>64</v>
      </c>
      <c r="B24" s="10" t="s">
        <v>336</v>
      </c>
      <c r="C24" s="10" t="s">
        <v>344</v>
      </c>
      <c r="D24" s="10" t="s">
        <v>345</v>
      </c>
      <c r="E24" s="10" t="s">
        <v>346</v>
      </c>
      <c r="F24" s="10" t="s">
        <v>222</v>
      </c>
      <c r="G24" s="10" t="s">
        <v>325</v>
      </c>
      <c r="H24" s="10" t="s">
        <v>347</v>
      </c>
      <c r="I24" s="10" t="s">
        <v>282</v>
      </c>
      <c r="J24" s="10" t="s">
        <v>348</v>
      </c>
      <c r="K24" s="10" t="s">
        <v>226</v>
      </c>
      <c r="L24" s="10" t="s">
        <v>342</v>
      </c>
      <c r="M24" s="10" t="s">
        <v>343</v>
      </c>
    </row>
    <row r="25" customFormat="false" ht="31.5" hidden="false" customHeight="true" outlineLevel="0" collapsed="false">
      <c r="A25" s="10" t="s">
        <v>64</v>
      </c>
      <c r="B25" s="10" t="s">
        <v>336</v>
      </c>
      <c r="C25" s="10" t="s">
        <v>349</v>
      </c>
      <c r="D25" s="10" t="s">
        <v>350</v>
      </c>
      <c r="E25" s="10" t="s">
        <v>351</v>
      </c>
      <c r="F25" s="10" t="s">
        <v>232</v>
      </c>
      <c r="G25" s="10" t="s">
        <v>352</v>
      </c>
      <c r="H25" s="10" t="n">
        <v>5</v>
      </c>
      <c r="I25" s="10" t="s">
        <v>282</v>
      </c>
      <c r="J25" s="10" t="s">
        <v>353</v>
      </c>
      <c r="K25" s="10" t="s">
        <v>226</v>
      </c>
      <c r="L25" s="10" t="s">
        <v>354</v>
      </c>
      <c r="M25" s="10" t="s">
        <v>355</v>
      </c>
    </row>
    <row r="26" customFormat="false" ht="31.5" hidden="false" customHeight="true" outlineLevel="0" collapsed="false">
      <c r="A26" s="10" t="s">
        <v>64</v>
      </c>
      <c r="B26" s="10" t="s">
        <v>336</v>
      </c>
      <c r="C26" s="10" t="s">
        <v>356</v>
      </c>
      <c r="D26" s="10" t="s">
        <v>357</v>
      </c>
      <c r="E26" s="10" t="s">
        <v>358</v>
      </c>
      <c r="F26" s="10" t="s">
        <v>359</v>
      </c>
      <c r="G26" s="10" t="s">
        <v>360</v>
      </c>
      <c r="H26" s="10" t="s">
        <v>361</v>
      </c>
      <c r="I26" s="10" t="s">
        <v>44</v>
      </c>
      <c r="J26" s="10" t="s">
        <v>362</v>
      </c>
      <c r="K26" s="10" t="s">
        <v>226</v>
      </c>
      <c r="L26" s="10" t="s">
        <v>363</v>
      </c>
      <c r="M26" s="10" t="s">
        <v>343</v>
      </c>
    </row>
    <row r="27" customFormat="false" ht="31.5" hidden="false" customHeight="true" outlineLevel="0" collapsed="false">
      <c r="A27" s="10" t="s">
        <v>78</v>
      </c>
      <c r="B27" s="10" t="s">
        <v>364</v>
      </c>
      <c r="C27" s="10" t="s">
        <v>219</v>
      </c>
      <c r="D27" s="10" t="s">
        <v>365</v>
      </c>
      <c r="E27" s="10" t="s">
        <v>366</v>
      </c>
      <c r="F27" s="10" t="s">
        <v>222</v>
      </c>
      <c r="G27" s="10" t="s">
        <v>325</v>
      </c>
      <c r="H27" s="10" t="s">
        <v>126</v>
      </c>
      <c r="I27" s="10" t="s">
        <v>44</v>
      </c>
      <c r="J27" s="10" t="s">
        <v>367</v>
      </c>
      <c r="K27" s="10" t="s">
        <v>226</v>
      </c>
      <c r="L27" s="10" t="s">
        <v>328</v>
      </c>
      <c r="M27" s="10" t="s">
        <v>368</v>
      </c>
    </row>
    <row r="28" customFormat="false" ht="31.5" hidden="false" customHeight="true" outlineLevel="0" collapsed="false">
      <c r="A28" s="10" t="s">
        <v>78</v>
      </c>
      <c r="B28" s="10" t="s">
        <v>364</v>
      </c>
      <c r="C28" s="10" t="s">
        <v>369</v>
      </c>
      <c r="D28" s="10" t="s">
        <v>365</v>
      </c>
      <c r="E28" s="10" t="s">
        <v>370</v>
      </c>
      <c r="F28" s="10" t="s">
        <v>222</v>
      </c>
      <c r="G28" s="10" t="s">
        <v>371</v>
      </c>
      <c r="H28" s="10" t="s">
        <v>372</v>
      </c>
      <c r="I28" s="10" t="s">
        <v>44</v>
      </c>
      <c r="J28" s="10" t="s">
        <v>373</v>
      </c>
      <c r="K28" s="10" t="s">
        <v>226</v>
      </c>
      <c r="L28" s="10" t="s">
        <v>374</v>
      </c>
      <c r="M28" s="10" t="s">
        <v>375</v>
      </c>
    </row>
    <row r="29" customFormat="false" ht="31.5" hidden="false" customHeight="true" outlineLevel="0" collapsed="false">
      <c r="A29" s="10" t="s">
        <v>78</v>
      </c>
      <c r="B29" s="10" t="s">
        <v>364</v>
      </c>
      <c r="C29" s="10" t="s">
        <v>376</v>
      </c>
      <c r="D29" s="10" t="s">
        <v>365</v>
      </c>
      <c r="E29" s="10" t="s">
        <v>377</v>
      </c>
      <c r="F29" s="10" t="s">
        <v>232</v>
      </c>
      <c r="G29" s="10" t="s">
        <v>378</v>
      </c>
      <c r="H29" s="10" t="n">
        <v>320</v>
      </c>
      <c r="I29" s="10" t="s">
        <v>44</v>
      </c>
      <c r="J29" s="10" t="s">
        <v>242</v>
      </c>
      <c r="K29" s="10" t="s">
        <v>226</v>
      </c>
      <c r="L29" s="10" t="s">
        <v>342</v>
      </c>
      <c r="M29" s="10" t="s">
        <v>368</v>
      </c>
    </row>
    <row r="30" customFormat="false" ht="31.5" hidden="false" customHeight="true" outlineLevel="0" collapsed="false">
      <c r="A30" s="10" t="s">
        <v>104</v>
      </c>
      <c r="B30" s="10" t="s">
        <v>379</v>
      </c>
      <c r="C30" s="10" t="s">
        <v>380</v>
      </c>
      <c r="D30" s="10" t="s">
        <v>365</v>
      </c>
      <c r="E30" s="10" t="s">
        <v>381</v>
      </c>
      <c r="F30" s="10" t="s">
        <v>259</v>
      </c>
      <c r="G30" s="10" t="s">
        <v>260</v>
      </c>
      <c r="H30" s="10" t="s">
        <v>382</v>
      </c>
      <c r="I30" s="10" t="s">
        <v>44</v>
      </c>
      <c r="J30" s="10" t="s">
        <v>383</v>
      </c>
      <c r="K30" s="10" t="s">
        <v>226</v>
      </c>
      <c r="L30" s="10" t="s">
        <v>384</v>
      </c>
      <c r="M30" s="10" t="s">
        <v>385</v>
      </c>
    </row>
    <row r="31" customFormat="false" ht="31.5" hidden="false" customHeight="true" outlineLevel="0" collapsed="false">
      <c r="A31" s="10" t="s">
        <v>104</v>
      </c>
      <c r="B31" s="10" t="s">
        <v>379</v>
      </c>
      <c r="C31" s="10" t="s">
        <v>386</v>
      </c>
      <c r="D31" s="10" t="s">
        <v>365</v>
      </c>
      <c r="E31" s="10" t="s">
        <v>387</v>
      </c>
      <c r="F31" s="10" t="s">
        <v>232</v>
      </c>
      <c r="G31" s="10" t="s">
        <v>240</v>
      </c>
      <c r="H31" s="10" t="n">
        <v>5200</v>
      </c>
      <c r="I31" s="10" t="s">
        <v>282</v>
      </c>
      <c r="J31" s="10" t="s">
        <v>242</v>
      </c>
      <c r="K31" s="10" t="s">
        <v>226</v>
      </c>
      <c r="L31" s="10" t="s">
        <v>342</v>
      </c>
      <c r="M31" s="10" t="s">
        <v>385</v>
      </c>
    </row>
    <row r="32" customFormat="false" ht="31.5" hidden="false" customHeight="true" outlineLevel="0" collapsed="false">
      <c r="A32" s="10" t="s">
        <v>104</v>
      </c>
      <c r="B32" s="10" t="s">
        <v>379</v>
      </c>
      <c r="C32" s="10" t="s">
        <v>388</v>
      </c>
      <c r="D32" s="10" t="s">
        <v>365</v>
      </c>
      <c r="E32" s="10" t="s">
        <v>389</v>
      </c>
      <c r="F32" s="10" t="s">
        <v>232</v>
      </c>
      <c r="G32" s="10" t="s">
        <v>240</v>
      </c>
      <c r="H32" s="10" t="n">
        <v>11800</v>
      </c>
      <c r="I32" s="10" t="s">
        <v>282</v>
      </c>
      <c r="J32" s="10" t="s">
        <v>242</v>
      </c>
      <c r="K32" s="10" t="s">
        <v>226</v>
      </c>
      <c r="L32" s="10" t="s">
        <v>342</v>
      </c>
      <c r="M32" s="10" t="s">
        <v>385</v>
      </c>
    </row>
    <row r="33" customFormat="false" ht="31.5" hidden="false" customHeight="true" outlineLevel="0" collapsed="false">
      <c r="A33" s="10" t="s">
        <v>110</v>
      </c>
      <c r="B33" s="10" t="s">
        <v>390</v>
      </c>
      <c r="C33" s="10" t="s">
        <v>391</v>
      </c>
      <c r="D33" s="10" t="s">
        <v>392</v>
      </c>
      <c r="E33" s="10" t="s">
        <v>393</v>
      </c>
      <c r="F33" s="10" t="s">
        <v>232</v>
      </c>
      <c r="G33" s="10" t="s">
        <v>394</v>
      </c>
      <c r="H33" s="10" t="n">
        <v>42</v>
      </c>
      <c r="I33" s="10" t="s">
        <v>44</v>
      </c>
      <c r="J33" s="10" t="s">
        <v>395</v>
      </c>
      <c r="K33" s="10" t="s">
        <v>226</v>
      </c>
      <c r="L33" s="10" t="s">
        <v>342</v>
      </c>
      <c r="M33" s="10" t="s">
        <v>396</v>
      </c>
    </row>
    <row r="34" customFormat="false" ht="31.5" hidden="false" customHeight="true" outlineLevel="0" collapsed="false">
      <c r="A34" s="10" t="s">
        <v>110</v>
      </c>
      <c r="B34" s="10" t="s">
        <v>390</v>
      </c>
      <c r="C34" s="10" t="s">
        <v>397</v>
      </c>
      <c r="D34" s="10" t="s">
        <v>398</v>
      </c>
      <c r="E34" s="10" t="s">
        <v>399</v>
      </c>
      <c r="F34" s="10" t="s">
        <v>222</v>
      </c>
      <c r="G34" s="10" t="s">
        <v>325</v>
      </c>
      <c r="H34" s="10" t="s">
        <v>400</v>
      </c>
      <c r="I34" s="10" t="s">
        <v>44</v>
      </c>
      <c r="J34" s="10" t="s">
        <v>113</v>
      </c>
      <c r="K34" s="10" t="s">
        <v>226</v>
      </c>
      <c r="L34" s="10" t="s">
        <v>342</v>
      </c>
      <c r="M34" s="10" t="s">
        <v>396</v>
      </c>
    </row>
    <row r="35" customFormat="false" ht="31.5" hidden="false" customHeight="true" outlineLevel="0" collapsed="false">
      <c r="A35" s="10" t="s">
        <v>110</v>
      </c>
      <c r="B35" s="10" t="s">
        <v>390</v>
      </c>
      <c r="C35" s="10" t="s">
        <v>401</v>
      </c>
      <c r="D35" s="10" t="s">
        <v>402</v>
      </c>
      <c r="E35" s="10" t="s">
        <v>403</v>
      </c>
      <c r="F35" s="10" t="s">
        <v>259</v>
      </c>
      <c r="G35" s="10" t="s">
        <v>260</v>
      </c>
      <c r="H35" s="10" t="s">
        <v>404</v>
      </c>
      <c r="I35" s="10" t="s">
        <v>44</v>
      </c>
      <c r="J35" s="10" t="s">
        <v>383</v>
      </c>
      <c r="K35" s="10" t="s">
        <v>226</v>
      </c>
      <c r="L35" s="10" t="s">
        <v>405</v>
      </c>
      <c r="M35" s="10" t="s">
        <v>406</v>
      </c>
    </row>
    <row r="36" customFormat="false" ht="25.5" hidden="false" customHeight="true" outlineLevel="0" collapsed="false">
      <c r="A36" s="10" t="s">
        <v>110</v>
      </c>
      <c r="B36" s="10" t="s">
        <v>390</v>
      </c>
      <c r="C36" s="10" t="s">
        <v>407</v>
      </c>
      <c r="D36" s="10" t="s">
        <v>408</v>
      </c>
      <c r="E36" s="10" t="s">
        <v>409</v>
      </c>
      <c r="F36" s="10" t="s">
        <v>279</v>
      </c>
      <c r="G36" s="10" t="s">
        <v>394</v>
      </c>
      <c r="H36" s="10" t="n">
        <v>35</v>
      </c>
      <c r="I36" s="10" t="s">
        <v>282</v>
      </c>
      <c r="J36" s="10" t="s">
        <v>395</v>
      </c>
      <c r="K36" s="10" t="s">
        <v>226</v>
      </c>
      <c r="L36" s="10" t="s">
        <v>342</v>
      </c>
      <c r="M36" s="10" t="s">
        <v>396</v>
      </c>
    </row>
    <row r="37" customFormat="false" ht="14.2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customFormat="false" ht="14.2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customFormat="false" ht="14.2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customFormat="false" ht="14.2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customFormat="false" ht="14.2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customFormat="false" ht="14.2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customFormat="false" ht="14.2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customFormat="false" ht="14.2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</sheetData>
  <dataValidations count="3">
    <dataValidation allowBlank="true" error="Elijan una opción de la lista" errorStyle="stop" operator="between" showDropDown="false" showErrorMessage="false" showInputMessage="false" sqref="F5:F44" type="list">
      <formula1>"Texto,Entero,Decimal,Fecha,Booleano,Código,Coordenada / geometría"</formula1>
      <formula2>0</formula2>
    </dataValidation>
    <dataValidation allowBlank="true" error="Elijan una opción de la lista" errorStyle="stop" operator="between" showDropDown="false" showErrorMessage="false" showInputMessage="false" sqref="I5:I44" type="list">
      <formula1>"Sí,No"</formula1>
      <formula2>0</formula2>
    </dataValidation>
    <dataValidation allowBlank="true" error="Elijan una opción de la lista" errorStyle="stop" operator="between" showDropDown="false" showErrorMessage="false" showInputMessage="false" sqref="K5:K44" type="list">
      <formula1>"Pública,Interna,Sensible,Dato personal"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77343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4" min="3" style="0" width="36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18" hidden="false" customHeight="true" outlineLevel="0" collapsed="false">
      <c r="A1" s="6" t="s">
        <v>410</v>
      </c>
    </row>
    <row r="2" customFormat="false" ht="14.25" hidden="false" customHeight="false" outlineLevel="0" collapsed="false">
      <c r="A2" s="7" t="s">
        <v>411</v>
      </c>
    </row>
    <row r="3" customFormat="false" ht="42" hidden="false" customHeight="true" outlineLevel="0" collapsed="false">
      <c r="A3" s="8" t="s">
        <v>412</v>
      </c>
      <c r="B3" s="8" t="s">
        <v>413</v>
      </c>
      <c r="C3" s="8" t="s">
        <v>414</v>
      </c>
      <c r="D3" s="8" t="s">
        <v>415</v>
      </c>
      <c r="E3" s="8" t="s">
        <v>416</v>
      </c>
      <c r="F3" s="8" t="s">
        <v>417</v>
      </c>
      <c r="G3" s="8" t="s">
        <v>418</v>
      </c>
      <c r="H3" s="8" t="s">
        <v>419</v>
      </c>
    </row>
    <row r="4" customFormat="false" ht="51.75" hidden="false" customHeight="true" outlineLevel="0" collapsed="false">
      <c r="A4" s="9"/>
      <c r="B4" s="9"/>
      <c r="C4" s="9"/>
      <c r="D4" s="9"/>
      <c r="E4" s="9"/>
      <c r="F4" s="9"/>
      <c r="G4" s="9"/>
      <c r="H4" s="9"/>
    </row>
    <row r="5" customFormat="false" ht="133.5" hidden="false" customHeight="true" outlineLevel="0" collapsed="false">
      <c r="A5" s="10" t="n">
        <v>1</v>
      </c>
      <c r="B5" s="10" t="s">
        <v>420</v>
      </c>
      <c r="C5" s="10" t="s">
        <v>421</v>
      </c>
      <c r="D5" s="10" t="s">
        <v>422</v>
      </c>
      <c r="E5" s="10" t="s">
        <v>423</v>
      </c>
      <c r="F5" s="10" t="s">
        <v>424</v>
      </c>
      <c r="G5" s="10" t="s">
        <v>425</v>
      </c>
      <c r="H5" s="10" t="s">
        <v>426</v>
      </c>
    </row>
    <row r="6" customFormat="false" ht="95.25" hidden="false" customHeight="true" outlineLevel="0" collapsed="false">
      <c r="A6" s="10" t="n">
        <v>2</v>
      </c>
      <c r="B6" s="10" t="s">
        <v>420</v>
      </c>
      <c r="C6" s="10" t="s">
        <v>427</v>
      </c>
      <c r="D6" s="10" t="s">
        <v>428</v>
      </c>
      <c r="E6" s="10" t="s">
        <v>429</v>
      </c>
      <c r="F6" s="10" t="s">
        <v>424</v>
      </c>
      <c r="G6" s="10" t="s">
        <v>430</v>
      </c>
      <c r="H6" s="10" t="s">
        <v>431</v>
      </c>
    </row>
    <row r="7" customFormat="false" ht="133.5" hidden="false" customHeight="true" outlineLevel="0" collapsed="false">
      <c r="A7" s="10" t="n">
        <v>3</v>
      </c>
      <c r="B7" s="10" t="s">
        <v>420</v>
      </c>
      <c r="C7" s="10" t="s">
        <v>432</v>
      </c>
      <c r="D7" s="10" t="s">
        <v>433</v>
      </c>
      <c r="E7" s="10" t="s">
        <v>434</v>
      </c>
      <c r="F7" s="10" t="s">
        <v>424</v>
      </c>
      <c r="G7" s="10" t="s">
        <v>435</v>
      </c>
      <c r="H7" s="10" t="s">
        <v>436</v>
      </c>
    </row>
    <row r="8" customFormat="false" ht="57" hidden="false" customHeight="true" outlineLevel="0" collapsed="false">
      <c r="A8" s="10" t="n">
        <v>4</v>
      </c>
      <c r="B8" s="10" t="s">
        <v>420</v>
      </c>
      <c r="C8" s="10" t="s">
        <v>437</v>
      </c>
      <c r="D8" s="10" t="s">
        <v>438</v>
      </c>
      <c r="E8" s="10" t="s">
        <v>439</v>
      </c>
      <c r="F8" s="10" t="s">
        <v>440</v>
      </c>
      <c r="G8" s="10" t="s">
        <v>441</v>
      </c>
      <c r="H8" s="10" t="s">
        <v>442</v>
      </c>
    </row>
    <row r="9" customFormat="false" ht="69.75" hidden="false" customHeight="true" outlineLevel="0" collapsed="false">
      <c r="A9" s="10" t="n">
        <v>5</v>
      </c>
      <c r="B9" s="10" t="s">
        <v>443</v>
      </c>
      <c r="C9" s="10" t="s">
        <v>444</v>
      </c>
      <c r="D9" s="10" t="s">
        <v>445</v>
      </c>
      <c r="E9" s="10" t="s">
        <v>446</v>
      </c>
      <c r="F9" s="10" t="s">
        <v>440</v>
      </c>
      <c r="G9" s="10" t="s">
        <v>36</v>
      </c>
      <c r="H9" s="10" t="s">
        <v>447</v>
      </c>
    </row>
    <row r="10" customFormat="false" ht="69.75" hidden="false" customHeight="true" outlineLevel="0" collapsed="false">
      <c r="A10" s="10" t="n">
        <v>6</v>
      </c>
      <c r="B10" s="10" t="s">
        <v>443</v>
      </c>
      <c r="C10" s="10" t="s">
        <v>448</v>
      </c>
      <c r="D10" s="10" t="s">
        <v>449</v>
      </c>
      <c r="E10" s="10" t="s">
        <v>450</v>
      </c>
      <c r="F10" s="10" t="s">
        <v>451</v>
      </c>
      <c r="G10" s="10" t="s">
        <v>36</v>
      </c>
      <c r="H10" s="10" t="s">
        <v>452</v>
      </c>
    </row>
    <row r="11" customFormat="false" ht="57" hidden="false" customHeight="true" outlineLevel="0" collapsed="false">
      <c r="A11" s="10" t="n">
        <v>7</v>
      </c>
      <c r="B11" s="10" t="s">
        <v>453</v>
      </c>
      <c r="C11" s="10" t="s">
        <v>454</v>
      </c>
      <c r="D11" s="10" t="s">
        <v>455</v>
      </c>
      <c r="E11" s="10" t="s">
        <v>456</v>
      </c>
      <c r="F11" s="10" t="s">
        <v>440</v>
      </c>
      <c r="G11" s="10" t="s">
        <v>36</v>
      </c>
      <c r="H11" s="10" t="s">
        <v>457</v>
      </c>
    </row>
    <row r="12" customFormat="false" ht="57" hidden="false" customHeight="true" outlineLevel="0" collapsed="false">
      <c r="A12" s="10" t="n">
        <v>8</v>
      </c>
      <c r="B12" s="10" t="s">
        <v>453</v>
      </c>
      <c r="C12" s="10" t="s">
        <v>458</v>
      </c>
      <c r="D12" s="10" t="s">
        <v>459</v>
      </c>
      <c r="E12" s="10" t="s">
        <v>460</v>
      </c>
      <c r="F12" s="10" t="s">
        <v>424</v>
      </c>
      <c r="G12" s="10" t="s">
        <v>52</v>
      </c>
      <c r="H12" s="10" t="s">
        <v>461</v>
      </c>
    </row>
    <row r="13" customFormat="false" ht="57" hidden="false" customHeight="true" outlineLevel="0" collapsed="false">
      <c r="A13" s="10" t="n">
        <v>9</v>
      </c>
      <c r="B13" s="10" t="s">
        <v>453</v>
      </c>
      <c r="C13" s="10" t="s">
        <v>462</v>
      </c>
      <c r="D13" s="10" t="s">
        <v>463</v>
      </c>
      <c r="E13" s="10" t="s">
        <v>464</v>
      </c>
      <c r="F13" s="10" t="s">
        <v>424</v>
      </c>
      <c r="G13" s="10" t="s">
        <v>64</v>
      </c>
      <c r="H13" s="10" t="s">
        <v>465</v>
      </c>
    </row>
    <row r="14" customFormat="false" ht="57" hidden="false" customHeight="true" outlineLevel="0" collapsed="false">
      <c r="A14" s="10" t="n">
        <v>10</v>
      </c>
      <c r="B14" s="10" t="s">
        <v>453</v>
      </c>
      <c r="C14" s="10" t="s">
        <v>466</v>
      </c>
      <c r="D14" s="10" t="s">
        <v>467</v>
      </c>
      <c r="E14" s="10" t="s">
        <v>468</v>
      </c>
      <c r="F14" s="10" t="s">
        <v>451</v>
      </c>
      <c r="G14" s="10" t="s">
        <v>78</v>
      </c>
      <c r="H14" s="10" t="s">
        <v>469</v>
      </c>
    </row>
    <row r="15" customFormat="false" ht="57" hidden="false" customHeight="true" outlineLevel="0" collapsed="false">
      <c r="A15" s="10" t="n">
        <v>11</v>
      </c>
      <c r="B15" s="10" t="s">
        <v>453</v>
      </c>
      <c r="C15" s="10" t="s">
        <v>470</v>
      </c>
      <c r="D15" s="10" t="s">
        <v>471</v>
      </c>
      <c r="E15" s="10" t="s">
        <v>472</v>
      </c>
      <c r="F15" s="10" t="s">
        <v>440</v>
      </c>
      <c r="G15" s="10" t="s">
        <v>36</v>
      </c>
      <c r="H15" s="10" t="s">
        <v>473</v>
      </c>
    </row>
    <row r="16" customFormat="false" ht="57" hidden="false" customHeight="true" outlineLevel="0" collapsed="false">
      <c r="A16" s="10" t="n">
        <v>12</v>
      </c>
      <c r="B16" s="10" t="s">
        <v>453</v>
      </c>
      <c r="C16" s="10" t="s">
        <v>474</v>
      </c>
      <c r="D16" s="10" t="s">
        <v>475</v>
      </c>
      <c r="E16" s="10" t="s">
        <v>476</v>
      </c>
      <c r="F16" s="10" t="s">
        <v>440</v>
      </c>
      <c r="G16" s="10" t="s">
        <v>36</v>
      </c>
      <c r="H16" s="10" t="s">
        <v>477</v>
      </c>
    </row>
    <row r="17" customFormat="false" ht="14.2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</row>
    <row r="18" customFormat="false" ht="14.2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</row>
    <row r="19" customFormat="false" ht="14.2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</row>
    <row r="20" customFormat="false" ht="14.2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</row>
    <row r="21" customFormat="false" ht="14.2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</row>
    <row r="22" customFormat="false" ht="14.2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</row>
    <row r="23" customFormat="false" ht="14.2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</row>
    <row r="24" customFormat="false" ht="14.2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</row>
    <row r="25" customFormat="false" ht="14.2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</row>
    <row r="26" customFormat="false" ht="14.2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</row>
    <row r="27" customFormat="false" ht="14.2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</row>
    <row r="28" customFormat="false" ht="14.2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</row>
    <row r="29" customFormat="false" ht="14.2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</row>
    <row r="30" customFormat="false" ht="14.2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</row>
    <row r="31" customFormat="false" ht="14.2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</row>
    <row r="32" customFormat="false" ht="14.2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</row>
    <row r="33" customFormat="false" ht="14.2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</row>
    <row r="34" customFormat="false" ht="14.2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</row>
    <row r="35" customFormat="false" ht="14.2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</row>
    <row r="36" customFormat="false" ht="14.2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</row>
    <row r="37" customFormat="false" ht="14.2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</row>
    <row r="38" customFormat="false" ht="14.2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</row>
    <row r="39" customFormat="false" ht="14.2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</row>
    <row r="40" customFormat="false" ht="14.2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</row>
    <row r="41" customFormat="false" ht="14.2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</row>
    <row r="42" customFormat="false" ht="14.2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</row>
    <row r="43" customFormat="false" ht="14.2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</row>
    <row r="44" customFormat="false" ht="14.2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</row>
  </sheetData>
  <dataValidations count="1">
    <dataValidation allowBlank="true" error="Elijan una opción de la lista" errorStyle="stop" operator="between" showDropDown="false" showErrorMessage="false" showInputMessage="false" sqref="F5:F44" type="list">
      <formula1>"Correcto,Parcial,Incorrecto,Inventado"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7734375" defaultRowHeight="14.2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</cols>
  <sheetData>
    <row r="1" customFormat="false" ht="18" hidden="false" customHeight="true" outlineLevel="0" collapsed="false">
      <c r="A1" s="6" t="s">
        <v>478</v>
      </c>
    </row>
    <row r="2" customFormat="false" ht="14.25" hidden="false" customHeight="false" outlineLevel="0" collapsed="false">
      <c r="A2" s="7" t="s">
        <v>479</v>
      </c>
    </row>
    <row r="4" customFormat="false" ht="14.25" hidden="false" customHeight="false" outlineLevel="0" collapsed="false">
      <c r="A4" s="12" t="s">
        <v>480</v>
      </c>
      <c r="B4" s="13" t="n">
        <f aca="false">COUNTA('1. Fuentes'!A5:A44)</f>
        <v>24</v>
      </c>
    </row>
    <row r="5" customFormat="false" ht="14.25" hidden="false" customHeight="false" outlineLevel="0" collapsed="false">
      <c r="A5" s="14" t="s">
        <v>481</v>
      </c>
      <c r="B5" s="13" t="n">
        <f aca="false">COUNTIF('1. Fuentes'!N5:N44,"Integrada al lago")</f>
        <v>2</v>
      </c>
    </row>
    <row r="6" customFormat="false" ht="14.25" hidden="false" customHeight="false" outlineLevel="0" collapsed="false">
      <c r="A6" s="14" t="s">
        <v>482</v>
      </c>
      <c r="B6" s="13" t="n">
        <f aca="false">COUNTIF('1. Fuentes'!N5:N44,"Candidata")</f>
        <v>8</v>
      </c>
    </row>
    <row r="7" customFormat="false" ht="14.25" hidden="false" customHeight="false" outlineLevel="0" collapsed="false">
      <c r="A7" s="14" t="s">
        <v>483</v>
      </c>
      <c r="B7" s="13" t="n">
        <f aca="false">COUNTIF('1. Fuentes'!N5:N44,"No responde")</f>
        <v>0</v>
      </c>
    </row>
    <row r="8" customFormat="false" ht="14.25" hidden="false" customHeight="false" outlineLevel="0" collapsed="false">
      <c r="A8" s="14" t="s">
        <v>484</v>
      </c>
      <c r="B8" s="13" t="n">
        <f aca="false">COUNTIF('1. Fuentes'!N5:N44,"No existe (la inventó la IA)")</f>
        <v>0</v>
      </c>
    </row>
    <row r="9" customFormat="false" ht="14.25" hidden="false" customHeight="false" outlineLevel="0" collapsed="false">
      <c r="A9" s="14" t="s">
        <v>485</v>
      </c>
      <c r="B9" s="13" t="n">
        <f aca="false">COUNTIF('1. Fuentes'!N5:N44,"Descartada")</f>
        <v>3</v>
      </c>
    </row>
    <row r="10" customFormat="false" ht="14.25" hidden="false" customHeight="false" outlineLevel="0" collapsed="false">
      <c r="A10" s="12" t="s">
        <v>486</v>
      </c>
      <c r="B10" s="13" t="n">
        <f aca="false">COUNTIF('1. Fuentes'!H5:H44,"no declara")+COUNTIFS('1. Fuentes'!A5:A44,"&lt;&gt;",'1. Fuentes'!H5:H44,"")</f>
        <v>23</v>
      </c>
    </row>
    <row r="11" customFormat="false" ht="14.25" hidden="false" customHeight="false" outlineLevel="0" collapsed="false">
      <c r="A11" s="12" t="s">
        <v>487</v>
      </c>
      <c r="B11" s="13" t="n">
        <f aca="false">COUNTIF('1. Fuentes'!I5:I44,"Personas identificables")+COUNTIF('1. Fuentes'!I5:I44,"Texto libre sin revisar")</f>
        <v>0</v>
      </c>
    </row>
    <row r="12" customFormat="false" ht="14.25" hidden="false" customHeight="false" outlineLevel="0" collapsed="false">
      <c r="A12" s="12" t="s">
        <v>488</v>
      </c>
      <c r="B12" s="13" t="n">
        <f aca="false">COUNTA('2. Diccionario'!C5:C44)</f>
        <v>32</v>
      </c>
    </row>
    <row r="13" customFormat="false" ht="14.25" hidden="false" customHeight="false" outlineLevel="0" collapsed="false">
      <c r="A13" s="14" t="s">
        <v>489</v>
      </c>
      <c r="B13" s="13" t="n">
        <f aca="false">COUNTIF('2. Diccionario'!K5:K44,"Sensible")+COUNTIF('2. Diccionario'!K5:K44,"Dato personal")</f>
        <v>0</v>
      </c>
    </row>
    <row r="14" customFormat="false" ht="14.25" hidden="false" customHeight="false" outlineLevel="0" collapsed="false">
      <c r="A14" s="14" t="s">
        <v>490</v>
      </c>
      <c r="B14" s="13" t="n">
        <f aca="false">COUNTIFS('2. Diccionario'!C5:C44,"&lt;&gt;",'2. Diccionario'!M5:M44,"")</f>
        <v>0</v>
      </c>
    </row>
    <row r="15" customFormat="false" ht="14.25" hidden="false" customHeight="false" outlineLevel="0" collapsed="false">
      <c r="A15" s="12" t="s">
        <v>491</v>
      </c>
      <c r="B15" s="13" t="n">
        <f aca="false">COUNTA('3. Bitácora IA'!C5:C44)</f>
        <v>12</v>
      </c>
    </row>
    <row r="16" customFormat="false" ht="14.25" hidden="false" customHeight="false" outlineLevel="0" collapsed="false">
      <c r="A16" s="14" t="s">
        <v>492</v>
      </c>
      <c r="B16" s="13" t="n">
        <f aca="false">COUNTIF('3. Bitácora IA'!F5:F44,"Incorrecto")+COUNTIF('3. Bitácora IA'!F5:F44,"Inventado")</f>
        <v>2</v>
      </c>
    </row>
    <row r="17" customFormat="false" ht="14.25" hidden="false" customHeight="false" outlineLevel="0" collapsed="false">
      <c r="A17" s="12" t="s">
        <v>493</v>
      </c>
      <c r="B17" s="15" t="n">
        <f aca="false">IF(B15=0,"-",COUNTIF('3. Bitácora IA'!F5:F44,"Correcto")/B15)</f>
        <v>0.416666666666667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2026-09-28T11:22:59Z</dcterms:created>
  <dc:creator>openpyxl</dc:creator>
  <dc:description/>
  <dc:language>en-US</dc:language>
  <cp:lastModifiedBy>Samuel Herrera Galvis</cp:lastModifiedBy>
  <dcterms:modified xsi:type="dcterms:W3CDTF">2026-10-06T04:01:59Z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